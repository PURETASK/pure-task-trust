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tems" sheetId="2" state="visible" r:id="rId4"/>
    <sheet name="Session Plan" sheetId="3" state="visible" r:id="rId5"/>
    <sheet name="Reference" sheetId="4" state="visible" r:id="rId6"/>
  </sheets>
  <definedNames>
    <definedName function="false" hidden="true" localSheetId="1" name="_xlnm._FilterDatabase" vbProcedure="false">Items!$A$1:$M$91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<sst xmlns="http://schemas.openxmlformats.org/spreadsheetml/2006/main" count="873" uniqueCount="403">
  <si>
    <t xml:space="preserve">PureTask Implementation Tracking — Dashboard</t>
  </si>
  <si>
    <t xml:space="preserve">Document 16 — Status of all CHG items from Doc 15 Lovable Implementation Brief</t>
  </si>
  <si>
    <t xml:space="preserve">Status Summary</t>
  </si>
  <si>
    <t xml:space="preserve">Status</t>
  </si>
  <si>
    <t xml:space="preserve">Count</t>
  </si>
  <si>
    <t xml:space="preserve">% of Total</t>
  </si>
  <si>
    <t xml:space="preserve">Not Started</t>
  </si>
  <si>
    <t xml:space="preserve">In Progress</t>
  </si>
  <si>
    <t xml:space="preserve">Blocked</t>
  </si>
  <si>
    <t xml:space="preserve">Done</t>
  </si>
  <si>
    <t xml:space="preserve">Verified</t>
  </si>
  <si>
    <t xml:space="preserve">Total</t>
  </si>
  <si>
    <t xml:space="preserve">Priority Breakdown</t>
  </si>
  <si>
    <t xml:space="preserve">Priority</t>
  </si>
  <si>
    <t xml:space="preserve">Done + Verified</t>
  </si>
  <si>
    <t xml:space="preserve">% Complete</t>
  </si>
  <si>
    <t xml:space="preserve">P0</t>
  </si>
  <si>
    <t xml:space="preserve">P1</t>
  </si>
  <si>
    <t xml:space="preserve">P2</t>
  </si>
  <si>
    <t xml:space="preserve">P3</t>
  </si>
  <si>
    <t xml:space="preserve">Progress by Section</t>
  </si>
  <si>
    <t xml:space="preserve">Section</t>
  </si>
  <si>
    <t xml:space="preserve">Total Items</t>
  </si>
  <si>
    <t xml:space="preserve">1. Foundation</t>
  </si>
  <si>
    <t xml:space="preserve">10. SMS Logic</t>
  </si>
  <si>
    <t xml:space="preserve">11. Trust &amp; Safety</t>
  </si>
  <si>
    <t xml:space="preserve">12. Reviews</t>
  </si>
  <si>
    <t xml:space="preserve">13. Accessibility</t>
  </si>
  <si>
    <t xml:space="preserve">14. Mobile</t>
  </si>
  <si>
    <t xml:space="preserve">15. Admin</t>
  </si>
  <si>
    <t xml:space="preserve">2. Global UI</t>
  </si>
  <si>
    <t xml:space="preserve">3. Legal Pages</t>
  </si>
  <si>
    <t xml:space="preserve">4. Client Signup</t>
  </si>
  <si>
    <t xml:space="preserve">5. Pro Signup</t>
  </si>
  <si>
    <t xml:space="preserve">6. Booking Flow</t>
  </si>
  <si>
    <t xml:space="preserve">7. Payment</t>
  </si>
  <si>
    <t xml:space="preserve">8. Cancellation</t>
  </si>
  <si>
    <t xml:space="preserve">9. Account Settings</t>
  </si>
  <si>
    <t xml:space="preserve">★ CRITICAL ITEMS (must be Verified before public launch)</t>
  </si>
  <si>
    <t xml:space="preserve">CHG-046</t>
  </si>
  <si>
    <t xml:space="preserve">STANDALONE FCRA Disclosure — Gilberg-compliant (single page, no other consent on it)</t>
  </si>
  <si>
    <t xml:space="preserve">CHG-045</t>
  </si>
  <si>
    <t xml:space="preserve">Standalone Pro IC Agreement clickwrap (NOT bundled with ToS)</t>
  </si>
  <si>
    <t xml:space="preserve">CHG-131</t>
  </si>
  <si>
    <t xml:space="preserve">SMS sending wrapper enforcing TCPA + FTSA quiet hours</t>
  </si>
  <si>
    <t xml:space="preserve">CHG-001</t>
  </si>
  <si>
    <t xml:space="preserve">consent_records table immutability (no UPDATE/DELETE permissions)</t>
  </si>
  <si>
    <t xml:space="preserve">CHG-006</t>
  </si>
  <si>
    <t xml:space="preserve">sms_consent_records 5-year retention</t>
  </si>
  <si>
    <t xml:space="preserve">CHG-013</t>
  </si>
  <si>
    <t xml:space="preserve">GPC signal honored as CCPA opt-out</t>
  </si>
  <si>
    <t xml:space="preserve">CHG-082</t>
  </si>
  <si>
    <t xml:space="preserve">Stripe Connect Express agent-of-payee architecture (no PureTask-held funds)</t>
  </si>
  <si>
    <t xml:space="preserve">CHG-148</t>
  </si>
  <si>
    <t xml:space="preserve">Pre-Adverse Action Notice with 5-business-day wait window</t>
  </si>
  <si>
    <t xml:space="preserve">CHG ID</t>
  </si>
  <si>
    <t xml:space="preserve">Title</t>
  </si>
  <si>
    <t xml:space="preserve">Owner</t>
  </si>
  <si>
    <t xml:space="preserve">Dependencies</t>
  </si>
  <si>
    <t xml:space="preserve">Acceptance Notes</t>
  </si>
  <si>
    <t xml:space="preserve">Date Started</t>
  </si>
  <si>
    <t xml:space="preserve">Date Completed</t>
  </si>
  <si>
    <t xml:space="preserve">Date Verified</t>
  </si>
  <si>
    <t xml:space="preserve">Lovable Session</t>
  </si>
  <si>
    <t xml:space="preserve">Blocker / Notes</t>
  </si>
  <si>
    <t xml:space="preserve">Database schema: consent_records table</t>
  </si>
  <si>
    <t xml:space="preserve">Lovable</t>
  </si>
  <si>
    <t xml:space="preserve">—</t>
  </si>
  <si>
    <t xml:space="preserve">Audit-immutable consent record table for every clickwrap acceptance</t>
  </si>
  <si>
    <t xml:space="preserve">CHG-002</t>
  </si>
  <si>
    <t xml:space="preserve">Database schema: legal_documents table</t>
  </si>
  <si>
    <t xml:space="preserve">Versioned legal document storage with current-version constraint</t>
  </si>
  <si>
    <t xml:space="preserve">CHG-003</t>
  </si>
  <si>
    <t xml:space="preserve">Database schema: user profile additions</t>
  </si>
  <si>
    <t xml:space="preserve">Add age, state, account_status, marketing opt-ins, CCPA opt-out, arbitration opt-out fields</t>
  </si>
  <si>
    <t xml:space="preserve">CHG-004</t>
  </si>
  <si>
    <t xml:space="preserve">Database schema: pro_credentials table</t>
  </si>
  <si>
    <t xml:space="preserve">Encrypted credential storage for business license / EIN / COI</t>
  </si>
  <si>
    <t xml:space="preserve">CHG-005</t>
  </si>
  <si>
    <t xml:space="preserve">Database schema: background_checks table</t>
  </si>
  <si>
    <t xml:space="preserve">Status tracking for Checkr workflow; no raw report content</t>
  </si>
  <si>
    <t xml:space="preserve">Database schema: sms_consent_records table</t>
  </si>
  <si>
    <t xml:space="preserve">TCPA-compliant SMS consent records; 5-year retention</t>
  </si>
  <si>
    <t xml:space="preserve">CHG-007</t>
  </si>
  <si>
    <t xml:space="preserve">Database schema: audit_log table</t>
  </si>
  <si>
    <t xml:space="preserve">Append-only audit log for PII access, admin actions, consent changes</t>
  </si>
  <si>
    <t xml:space="preserve">CHG-008</t>
  </si>
  <si>
    <t xml:space="preserve">Environment variables setup</t>
  </si>
  <si>
    <t xml:space="preserve">Nathan</t>
  </si>
  <si>
    <t xml:space="preserve">Stripe, Checkr, Twilio, OneSignal, email, compliance contacts, OFAC keys</t>
  </si>
  <si>
    <t xml:space="preserve">CHG-009</t>
  </si>
  <si>
    <t xml:space="preserve">Install required dependencies</t>
  </si>
  <si>
    <t xml:space="preserve">Stripe, Supabase, Twilio, Resend, Checkr, Zod, react-hook-form, date-fns-tz</t>
  </si>
  <si>
    <t xml:space="preserve">CHG-010</t>
  </si>
  <si>
    <t xml:space="preserve">Constants file: legal &amp; policy values</t>
  </si>
  <si>
    <t xml:space="preserve">Hard limits and policy constants in lib/legal-constants.ts</t>
  </si>
  <si>
    <t xml:space="preserve">CHG-011</t>
  </si>
  <si>
    <t xml:space="preserve">Site footer with legal links</t>
  </si>
  <si>
    <t xml:space="preserve">Footer on every page with Do Not Sell, Limit SPI, legal page links</t>
  </si>
  <si>
    <t xml:space="preserve">CHG-012</t>
  </si>
  <si>
    <t xml:space="preserve">Cookie consent banner</t>
  </si>
  <si>
    <t xml:space="preserve">CHG-001, CHG-013</t>
  </si>
  <si>
    <t xml:space="preserve">First-visit banner with Accept all / Reject / Customize; persistent re-open via footer</t>
  </si>
  <si>
    <t xml:space="preserve">Global Privacy Control (GPC) detection</t>
  </si>
  <si>
    <t xml:space="preserve">Server + client GPC detection; auto-opt-out of sale/share; consent record</t>
  </si>
  <si>
    <t xml:space="preserve">CHG-014</t>
  </si>
  <si>
    <t xml:space="preserve">Service Area gate (CA/TX/FL only)</t>
  </si>
  <si>
    <t xml:space="preserve">Block out-of-state signups with waitlist modal</t>
  </si>
  <si>
    <t xml:space="preserve">CHG-021</t>
  </si>
  <si>
    <t xml:space="preserve">/legal/terms route</t>
  </si>
  <si>
    <t xml:space="preserve">Render Terms of Service v2.0 from legal_documents table</t>
  </si>
  <si>
    <t xml:space="preserve">CHG-022</t>
  </si>
  <si>
    <t xml:space="preserve">/legal/privacy route</t>
  </si>
  <si>
    <t xml:space="preserve">Render Privacy Policy v2.0</t>
  </si>
  <si>
    <t xml:space="preserve">CHG-023</t>
  </si>
  <si>
    <t xml:space="preserve">/legal/cookies route</t>
  </si>
  <si>
    <t xml:space="preserve">Render Cookie Policy v2.0 with re-open banner button</t>
  </si>
  <si>
    <t xml:space="preserve">CHG-024</t>
  </si>
  <si>
    <t xml:space="preserve">/legal/aup route</t>
  </si>
  <si>
    <t xml:space="preserve">Render Acceptable Use Policy v2.0</t>
  </si>
  <si>
    <t xml:space="preserve">CHG-025</t>
  </si>
  <si>
    <t xml:space="preserve">/legal/cancellation route</t>
  </si>
  <si>
    <t xml:space="preserve">Render Cancellation Policy v2.0</t>
  </si>
  <si>
    <t xml:space="preserve">CHG-026</t>
  </si>
  <si>
    <t xml:space="preserve">/legal/pro-agreement route</t>
  </si>
  <si>
    <t xml:space="preserve">Render Pro IC Agreement v2.0 (auth-gated)</t>
  </si>
  <si>
    <t xml:space="preserve">CHG-027</t>
  </si>
  <si>
    <t xml:space="preserve">/legal/fcra route</t>
  </si>
  <si>
    <t xml:space="preserve">Render FCRA Disclosure v2.0 (reference only; signup uses standalone)</t>
  </si>
  <si>
    <t xml:space="preserve">CHG-028</t>
  </si>
  <si>
    <t xml:space="preserve">/legal/sms-consent route</t>
  </si>
  <si>
    <t xml:space="preserve">Render SMS/TCPA Consent Disclosure v2.0</t>
  </si>
  <si>
    <t xml:space="preserve">CHG-029</t>
  </si>
  <si>
    <t xml:space="preserve">/legal/accessibility route</t>
  </si>
  <si>
    <t xml:space="preserve">Render Accessibility Statement v2.0 with feedback form</t>
  </si>
  <si>
    <t xml:space="preserve">CHG-030</t>
  </si>
  <si>
    <t xml:space="preserve">/legal/dmca route</t>
  </si>
  <si>
    <t xml:space="preserve">DMCA Designated Agent info + takedown form + counter-notice form</t>
  </si>
  <si>
    <t xml:space="preserve">CHG-031</t>
  </si>
  <si>
    <t xml:space="preserve">Client signup page structure</t>
  </si>
  <si>
    <t xml:space="preserve">CHG-001, CHG-003, CHG-014</t>
  </si>
  <si>
    <t xml:space="preserve">Multi-step: account/profile/consent/confirmation; 3 req + 2 opt checkboxes</t>
  </si>
  <si>
    <t xml:space="preserve">CHG-032</t>
  </si>
  <si>
    <t xml:space="preserve">OFAC/sanctions screening on signup</t>
  </si>
  <si>
    <t xml:space="preserve">Run OFAC SDN check after profile, before consent; flag hits for manual review</t>
  </si>
  <si>
    <t xml:space="preserve">CHG-033</t>
  </si>
  <si>
    <t xml:space="preserve">Email verification flow</t>
  </si>
  <si>
    <t xml:space="preserve">Standard email verification via Supabase Auth</t>
  </si>
  <si>
    <t xml:space="preserve">CHG-041</t>
  </si>
  <si>
    <t xml:space="preserve">Pro signup overall structure (11 steps)</t>
  </si>
  <si>
    <t xml:space="preserve">CHG-004, CHG-005</t>
  </si>
  <si>
    <t xml:space="preserve">11-step flow; cannot skip steps; progress indicator</t>
  </si>
  <si>
    <t xml:space="preserve">CHG-042</t>
  </si>
  <si>
    <t xml:space="preserve">Step 1: Account</t>
  </si>
  <si>
    <t xml:space="preserve">Email + password + basic profile</t>
  </si>
  <si>
    <t xml:space="preserve">CHG-043</t>
  </si>
  <si>
    <t xml:space="preserve">Step 2: Profile</t>
  </si>
  <si>
    <t xml:space="preserve">Address, service area, photo, business name</t>
  </si>
  <si>
    <t xml:space="preserve">CHG-044</t>
  </si>
  <si>
    <t xml:space="preserve">Step 3: Standard ToS Consent</t>
  </si>
  <si>
    <t xml:space="preserve">Three checkboxes — ToS+AUP+Cancellation, Privacy, Transactional comms</t>
  </si>
  <si>
    <t xml:space="preserve">Step 4: Pro IC Agreement (STANDALONE)</t>
  </si>
  <si>
    <t xml:space="preserve">CHG-041, CHG-026</t>
  </si>
  <si>
    <t xml:space="preserve">Separate page; full agreement text; typed signature</t>
  </si>
  <si>
    <t xml:space="preserve">Step 5: STANDALONE FCRA Disclosure ★ CRITICAL ★</t>
  </si>
  <si>
    <t xml:space="preserve">CHG-041, CHG-027</t>
  </si>
  <si>
    <t xml:space="preserve">GILBERG COMPLIANT: own page, no other content, no other consent on page</t>
  </si>
  <si>
    <t xml:space="preserve">CHG-047</t>
  </si>
  <si>
    <t xml:space="preserve">Step 6: SMS Consent (Two-Tier)</t>
  </si>
  <si>
    <t xml:space="preserve">CHG-041, CHG-006</t>
  </si>
  <si>
    <t xml:space="preserve">Transactional (required) + Marketing (optional, separate checkbox)</t>
  </si>
  <si>
    <t xml:space="preserve">CHG-048</t>
  </si>
  <si>
    <t xml:space="preserve">Step 7: Credentials Upload</t>
  </si>
  <si>
    <t xml:space="preserve">CHG-041, CHG-004</t>
  </si>
  <si>
    <t xml:space="preserve">Business license OR EIN OR COI; CGL min $300k/$1M aggregate</t>
  </si>
  <si>
    <t xml:space="preserve">CHG-049</t>
  </si>
  <si>
    <t xml:space="preserve">Step 8: Stripe Connect Express onboarding</t>
  </si>
  <si>
    <t xml:space="preserve">Embed Stripe hosted onboarding; store stripe_account_id</t>
  </si>
  <si>
    <t xml:space="preserve">CHG-050</t>
  </si>
  <si>
    <t xml:space="preserve">Step 9: Submit to Checkr</t>
  </si>
  <si>
    <t xml:space="preserve">CHG-041, CHG-005, CHG-046</t>
  </si>
  <si>
    <t xml:space="preserve">Create candidate + report; store IDs; webhook handler ready</t>
  </si>
  <si>
    <t xml:space="preserve">CHG-051</t>
  </si>
  <si>
    <t xml:space="preserve">Step 10: Identity Verification</t>
  </si>
  <si>
    <t xml:space="preserve">Stripe Identity or Persona ID + selfie + liveness</t>
  </si>
  <si>
    <t xml:space="preserve">CHG-052</t>
  </si>
  <si>
    <t xml:space="preserve">Step 11: Complete &amp; Pending Review</t>
  </si>
  <si>
    <t xml:space="preserve">Welcome screen showing all pending verification checks</t>
  </si>
  <si>
    <t xml:space="preserve">CHG-061</t>
  </si>
  <si>
    <t xml:space="preserve">Booking creation: Client side</t>
  </si>
  <si>
    <t xml:space="preserve">CHG-081</t>
  </si>
  <si>
    <t xml:space="preserve">Property details, scope, MANDATORY hazard disclosure, recording disclosure, fee transparency</t>
  </si>
  <si>
    <t xml:space="preserve">CHG-062</t>
  </si>
  <si>
    <t xml:space="preserve">Booking acceptance: Pro side</t>
  </si>
  <si>
    <t xml:space="preserve">Accept/Decline with full hazard visibility; no penalty for declines</t>
  </si>
  <si>
    <t xml:space="preserve">CHG-063</t>
  </si>
  <si>
    <t xml:space="preserve">Subcontractor / Substitute flow</t>
  </si>
  <si>
    <t xml:space="preserve">Substitute Pro must be registered, screened, 18+; Client notified with cancel option</t>
  </si>
  <si>
    <t xml:space="preserve">CHG-064</t>
  </si>
  <si>
    <t xml:space="preserve">Reliability Indicator</t>
  </si>
  <si>
    <t xml:space="preserve">Neutral signals only; never affects payouts or eligibility; excludes decline rate</t>
  </si>
  <si>
    <t xml:space="preserve">Stripe Connect platform setup</t>
  </si>
  <si>
    <t xml:space="preserve">Activate Connect Express; configure application fee; payouts schedule</t>
  </si>
  <si>
    <t xml:space="preserve">Booking charge flow</t>
  </si>
  <si>
    <t xml:space="preserve">PaymentIntent with application_fee_amount + transfer_data; no PureTask balance</t>
  </si>
  <si>
    <t xml:space="preserve">CHG-083</t>
  </si>
  <si>
    <t xml:space="preserve">Review Window and auto-release</t>
  </si>
  <si>
    <t xml:space="preserve">24-hour timer; auto-release on expiry; idempotent cron</t>
  </si>
  <si>
    <t xml:space="preserve">CHG-084</t>
  </si>
  <si>
    <t xml:space="preserve">Tipping flow</t>
  </si>
  <si>
    <t xml:space="preserve">100% to Pro minus Stripe fee; PureTask retains $0</t>
  </si>
  <si>
    <t xml:space="preserve">CHG-085</t>
  </si>
  <si>
    <t xml:space="preserve">Pro payout dashboard</t>
  </si>
  <si>
    <t xml:space="preserve">Embed or link Stripe Express dashboard</t>
  </si>
  <si>
    <t xml:space="preserve">CHG-096</t>
  </si>
  <si>
    <t xml:space="preserve">Client cancellation flow (6h/2h/&lt;2h)</t>
  </si>
  <si>
    <t xml:space="preserve">Time-based fee logic; show fee modal before confirm</t>
  </si>
  <si>
    <t xml:space="preserve">CHG-097</t>
  </si>
  <si>
    <t xml:space="preserve">Pro cancellation flow</t>
  </si>
  <si>
    <t xml:space="preserve">Refund + free re-book + service credit logic; no-show suspension trigger</t>
  </si>
  <si>
    <t xml:space="preserve">CHG-098</t>
  </si>
  <si>
    <t xml:space="preserve">Booking modification flow</t>
  </si>
  <si>
    <t xml:space="preserve">Reschedule, scope change, address change with recalculation</t>
  </si>
  <si>
    <t xml:space="preserve">CHG-099</t>
  </si>
  <si>
    <t xml:space="preserve">Recurring Booking management</t>
  </si>
  <si>
    <t xml:space="preserve">Per-instance cancel; entire schedule cancel; substitute Pro flow</t>
  </si>
  <si>
    <t xml:space="preserve">CHG-100</t>
  </si>
  <si>
    <t xml:space="preserve">Partial completion handling</t>
  </si>
  <si>
    <t xml:space="preserve">≥75% full pay / 25-75% pro-rata / &lt;25% trip fee</t>
  </si>
  <si>
    <t xml:space="preserve">CHG-101</t>
  </si>
  <si>
    <t xml:space="preserve">Dispute flow</t>
  </si>
  <si>
    <t xml:space="preserve">Open within Review Window; evidence upload; freeze funds; admin mediation 5 days</t>
  </si>
  <si>
    <t xml:space="preserve">CHG-111</t>
  </si>
  <si>
    <t xml:space="preserve">Account settings landing page</t>
  </si>
  <si>
    <t xml:space="preserve">Tabs: Profile, Notifications, Privacy, Payment, Security, Close</t>
  </si>
  <si>
    <t xml:space="preserve">CHG-112</t>
  </si>
  <si>
    <t xml:space="preserve">Notification preferences page</t>
  </si>
  <si>
    <t xml:space="preserve">CHG-006, CHG-111</t>
  </si>
  <si>
    <t xml:space="preserve">Email/SMS/Push toggles; SMS marketing requires re-acknowledging TCPA Express Written Consent</t>
  </si>
  <si>
    <t xml:space="preserve">CHG-113</t>
  </si>
  <si>
    <t xml:space="preserve">Privacy page / CCPA controls</t>
  </si>
  <si>
    <t xml:space="preserve">CHG-001, CHG-013, CHG-111</t>
  </si>
  <si>
    <t xml:space="preserve">Do Not Sell, Limit SPI, DSR request form (45-day SLA), Shine the Light</t>
  </si>
  <si>
    <t xml:space="preserve">CHG-114</t>
  </si>
  <si>
    <t xml:space="preserve">Do Not Sell or Share public page</t>
  </si>
  <si>
    <t xml:space="preserve">Public route /privacy/do-not-sell linked from footer</t>
  </si>
  <si>
    <t xml:space="preserve">CHG-115</t>
  </si>
  <si>
    <t xml:space="preserve">Limit Use of SPI public page</t>
  </si>
  <si>
    <t xml:space="preserve">Public route /privacy/limit-spi linked from footer</t>
  </si>
  <si>
    <t xml:space="preserve">CHG-116</t>
  </si>
  <si>
    <t xml:space="preserve">Account closure flow</t>
  </si>
  <si>
    <t xml:space="preserve">Modal with retention warning; cancel pending Bookings; schedule purge</t>
  </si>
  <si>
    <t xml:space="preserve">CHG-117</t>
  </si>
  <si>
    <t xml:space="preserve">Arbitration opt-out flow (30 days)</t>
  </si>
  <si>
    <t xml:space="preserve">30-day window from account_created_at; one-time opt-out; consent record</t>
  </si>
  <si>
    <t xml:space="preserve">SMS sending wrapper with consent + quiet-hour check</t>
  </si>
  <si>
    <t xml:space="preserve">CHG-006, CHG-010</t>
  </si>
  <si>
    <t xml:space="preserve">Every SMS gated by consent + TCPA quiet hours + Florida FTSA + sender ID</t>
  </si>
  <si>
    <t xml:space="preserve">CHG-132</t>
  </si>
  <si>
    <t xml:space="preserve">STOP / HELP keyword handler</t>
  </si>
  <si>
    <t xml:space="preserve">Twilio inbound webhook; STOP revokes; HELP responds; START resubscribes</t>
  </si>
  <si>
    <t xml:space="preserve">CHG-133</t>
  </si>
  <si>
    <t xml:space="preserve">Right to access consent record</t>
  </si>
  <si>
    <t xml:space="preserve">User can request consent history; PDF export within 30 days</t>
  </si>
  <si>
    <t xml:space="preserve">CHG-146</t>
  </si>
  <si>
    <t xml:space="preserve">Checkr webhook handler</t>
  </si>
  <si>
    <t xml:space="preserve">CHG-005, CHG-050</t>
  </si>
  <si>
    <t xml:space="preserve">Process report.completed, consider, suspended, disputed events</t>
  </si>
  <si>
    <t xml:space="preserve">CHG-147</t>
  </si>
  <si>
    <t xml:space="preserve">Individualized Assessment workflow (CA Fair Chance Act)</t>
  </si>
  <si>
    <t xml:space="preserve">Nathan+Lovable</t>
  </si>
  <si>
    <t xml:space="preserve">Admin review w/ Fair Chance Act exclusions documented in DB</t>
  </si>
  <si>
    <t xml:space="preserve">Pre-Adverse Action Notice send</t>
  </si>
  <si>
    <t xml:space="preserve">Generate from Doc 07A template; 5-business-day wait; applicant response form</t>
  </si>
  <si>
    <t xml:space="preserve">CHG-149</t>
  </si>
  <si>
    <t xml:space="preserve">Adverse Action Notice send</t>
  </si>
  <si>
    <t xml:space="preserve">Generate from Doc 07B template; 5-year retention of records</t>
  </si>
  <si>
    <t xml:space="preserve">CHG-150</t>
  </si>
  <si>
    <t xml:space="preserve">Ongoing background check rechecks</t>
  </si>
  <si>
    <t xml:space="preserve">Daily cron; submit annual rechecks; continuous monitoring alerts</t>
  </si>
  <si>
    <t xml:space="preserve">CHG-151</t>
  </si>
  <si>
    <t xml:space="preserve">AUP violation reporting</t>
  </si>
  <si>
    <t xml:space="preserve">/help/report form; admin queue; 48hr response; anti-retaliation</t>
  </si>
  <si>
    <t xml:space="preserve">CHG-152</t>
  </si>
  <si>
    <t xml:space="preserve">Appeal flow for suspensions/terminations</t>
  </si>
  <si>
    <t xml:space="preserve">Independent reviewer; 30-day SLA; decision final</t>
  </si>
  <si>
    <t xml:space="preserve">CHG-161</t>
  </si>
  <si>
    <t xml:space="preserve">Review submission</t>
  </si>
  <si>
    <t xml:space="preserve">Client-only post-completion; no edits after; Pro one response; anti-retaliation tracking</t>
  </si>
  <si>
    <t xml:space="preserve">CHG-171</t>
  </si>
  <si>
    <t xml:space="preserve">Semantic HTML audit</t>
  </si>
  <si>
    <t xml:space="preserve">Proper header/nav/main/article/footer; heading order; lists for lists; buttons for buttons</t>
  </si>
  <si>
    <t xml:space="preserve">CHG-172</t>
  </si>
  <si>
    <t xml:space="preserve">Keyboard navigation</t>
  </si>
  <si>
    <t xml:space="preserve">Tab access to every interactive element; visible focus; skip-to-content link</t>
  </si>
  <si>
    <t xml:space="preserve">CHG-173</t>
  </si>
  <si>
    <t xml:space="preserve">ARIA labels and landmarks</t>
  </si>
  <si>
    <t xml:space="preserve">Icon-only buttons labeled; landmarks where needed</t>
  </si>
  <si>
    <t xml:space="preserve">CHG-174</t>
  </si>
  <si>
    <t xml:space="preserve">Color contrast (4.5:1 AA)</t>
  </si>
  <si>
    <t xml:space="preserve">All text meets 4.5:1; verified with axe DevTools</t>
  </si>
  <si>
    <t xml:space="preserve">CHG-175</t>
  </si>
  <si>
    <t xml:space="preserve">Form labels</t>
  </si>
  <si>
    <t xml:space="preserve">Every input has label; required fields aria-required; errors aria-live polite</t>
  </si>
  <si>
    <t xml:space="preserve">CHG-176</t>
  </si>
  <si>
    <t xml:space="preserve">Reduced motion</t>
  </si>
  <si>
    <t xml:space="preserve">Respect prefers-reduced-motion; disable autoplay, parallax, page transitions</t>
  </si>
  <si>
    <t xml:space="preserve">CHG-177</t>
  </si>
  <si>
    <t xml:space="preserve">Alternative format request</t>
  </si>
  <si>
    <t xml:space="preserve">/help/accessibility form; 10-business-day SLA; routes to accessibility@puretask.co</t>
  </si>
  <si>
    <t xml:space="preserve">CHG-186</t>
  </si>
  <si>
    <t xml:space="preserve">iOS app: Apple-specific terms display</t>
  </si>
  <si>
    <t xml:space="preserve">Doc 01 Section 19.1 verbatim in iOS app ToS view</t>
  </si>
  <si>
    <t xml:space="preserve">CHG-187</t>
  </si>
  <si>
    <t xml:space="preserve">Android app: Google-specific terms display</t>
  </si>
  <si>
    <t xml:space="preserve">Doc 01 Section 19.2 verbatim in Android app ToS view</t>
  </si>
  <si>
    <t xml:space="preserve">CHG-188</t>
  </si>
  <si>
    <t xml:space="preserve">iOS / Android push notification permission</t>
  </si>
  <si>
    <t xml:space="preserve">OS-level permission prompt with clear copy; default OFF</t>
  </si>
  <si>
    <t xml:space="preserve">CHG-189</t>
  </si>
  <si>
    <t xml:space="preserve">IDFA / AAID handling</t>
  </si>
  <si>
    <t xml:space="preserve">Never collect for advertising without explicit opt-in</t>
  </si>
  <si>
    <t xml:space="preserve">CHG-190</t>
  </si>
  <si>
    <t xml:space="preserve">App Tracking Transparency (iOS)</t>
  </si>
  <si>
    <t xml:space="preserve">ATT prompt with clear purpose string; default no tracking</t>
  </si>
  <si>
    <t xml:space="preserve">CHG-196</t>
  </si>
  <si>
    <t xml:space="preserve">Admin dashboard</t>
  </si>
  <si>
    <t xml:space="preserve">Retool or custom: pending Pros, BG check queue, AUP reports, DSR queue, disputes</t>
  </si>
  <si>
    <t xml:space="preserve">CHG-197</t>
  </si>
  <si>
    <t xml:space="preserve">Data Subject Rights (DSR) request handling</t>
  </si>
  <si>
    <t xml:space="preserve">Queue + workflows for Know, Delete, Correct, Portability, Opt-out, Appeal; 45-day SLA</t>
  </si>
  <si>
    <t xml:space="preserve">CHG-198</t>
  </si>
  <si>
    <t xml:space="preserve">Privacy request audit trail</t>
  </si>
  <si>
    <t xml:space="preserve">CHG-007, CHG-197</t>
  </si>
  <si>
    <t xml:space="preserve">Every DSR logged; 4-year retention</t>
  </si>
  <si>
    <t xml:space="preserve">CHG-199</t>
  </si>
  <si>
    <t xml:space="preserve">Compliance calendar / reminders</t>
  </si>
  <si>
    <t xml:space="preserve">FTB $800, CA Stmt of Info, insurance renewals, trademark, DPA renewals, 1099-K</t>
  </si>
  <si>
    <t xml:space="preserve">CHG-200</t>
  </si>
  <si>
    <t xml:space="preserve">Incident response runbook integration</t>
  </si>
  <si>
    <t xml:space="preserve">On-call, forensics, notification windows by state (30/45/60 days)</t>
  </si>
  <si>
    <t xml:space="preserve">CHG-201</t>
  </si>
  <si>
    <t xml:space="preserve">DMCA Designated Agent registration</t>
  </si>
  <si>
    <t xml:space="preserve">Register at dmca.copyright.gov ($6); update Doc 01 Section 14.3</t>
  </si>
  <si>
    <t xml:space="preserve">Lovable Session Implementation Plan</t>
  </si>
  <si>
    <t xml:space="preserve">Each Lovable session implements a focused chunk of CHG items</t>
  </si>
  <si>
    <t xml:space="preserve">Session #</t>
  </si>
  <si>
    <t xml:space="preserve">Theme</t>
  </si>
  <si>
    <t xml:space="preserve">CHG Items</t>
  </si>
  <si>
    <t xml:space="preserve">Target Week</t>
  </si>
  <si>
    <t xml:space="preserve">Session 1</t>
  </si>
  <si>
    <t xml:space="preserve">Foundation + Global UI</t>
  </si>
  <si>
    <t xml:space="preserve">CHG-001 to CHG-014</t>
  </si>
  <si>
    <t xml:space="preserve">Week 1</t>
  </si>
  <si>
    <t xml:space="preserve">Session 2</t>
  </si>
  <si>
    <t xml:space="preserve">Legal Pages</t>
  </si>
  <si>
    <t xml:space="preserve">CHG-021 to CHG-030</t>
  </si>
  <si>
    <t xml:space="preserve">Week 1-2</t>
  </si>
  <si>
    <t xml:space="preserve">Session 3</t>
  </si>
  <si>
    <t xml:space="preserve">Client Signup</t>
  </si>
  <si>
    <t xml:space="preserve">CHG-031 to CHG-033</t>
  </si>
  <si>
    <t xml:space="preserve">Week 2</t>
  </si>
  <si>
    <t xml:space="preserve">Session 4</t>
  </si>
  <si>
    <t xml:space="preserve">Pro Signup (CRITICAL — Standalone FCRA)</t>
  </si>
  <si>
    <t xml:space="preserve">CHG-041 to CHG-052</t>
  </si>
  <si>
    <t xml:space="preserve">Week 2-3</t>
  </si>
  <si>
    <t xml:space="preserve">Session 5</t>
  </si>
  <si>
    <t xml:space="preserve">Payment &amp; Booking</t>
  </si>
  <si>
    <t xml:space="preserve">CHG-061 to CHG-064, CHG-081 to CHG-085, CHG-096 to CHG-101</t>
  </si>
  <si>
    <t xml:space="preserve">Week 3-4</t>
  </si>
  <si>
    <t xml:space="preserve">Session 6</t>
  </si>
  <si>
    <t xml:space="preserve">Trust, Safety, SMS</t>
  </si>
  <si>
    <t xml:space="preserve">CHG-131 to CHG-152</t>
  </si>
  <si>
    <t xml:space="preserve">Week 4-5</t>
  </si>
  <si>
    <t xml:space="preserve">Session 7</t>
  </si>
  <si>
    <t xml:space="preserve">Account Settings &amp; Privacy</t>
  </si>
  <si>
    <t xml:space="preserve">CHG-111 to CHG-117</t>
  </si>
  <si>
    <t xml:space="preserve">Week 5</t>
  </si>
  <si>
    <t xml:space="preserve">Session 8</t>
  </si>
  <si>
    <t xml:space="preserve">Accessibility, Mobile, Admin</t>
  </si>
  <si>
    <t xml:space="preserve">CHG-161, CHG-171 to CHG-201</t>
  </si>
  <si>
    <t xml:space="preserve">Week 5-6</t>
  </si>
  <si>
    <t xml:space="preserve">Reference: Status, Priority, Owner Definitions</t>
  </si>
  <si>
    <t xml:space="preserve">STATUS</t>
  </si>
  <si>
    <t xml:space="preserve">No work begun. Default state.</t>
  </si>
  <si>
    <t xml:space="preserve">Implementation underway. Date Started populated.</t>
  </si>
  <si>
    <t xml:space="preserve">Cannot proceed until a dependency or external decision resolves. Document in Blocker column.</t>
  </si>
  <si>
    <t xml:space="preserve">Implementation complete per Acceptance Notes. Date Completed populated. Awaiting verification.</t>
  </si>
  <si>
    <t xml:space="preserve">Manually verified by Nathan against full Acceptance Criteria in Doc 15. Date Verified populated. SHIPPABLE.</t>
  </si>
  <si>
    <t xml:space="preserve">PRIORITY</t>
  </si>
  <si>
    <t xml:space="preserve">Blocker. Cannot launch publicly without this. Most are legal/compliance critical.</t>
  </si>
  <si>
    <t xml:space="preserve">Required before public launch. Cannot defer beyond Phase 6 of Doc 12 launch checklist.</t>
  </si>
  <si>
    <t xml:space="preserve">Should ship within 30 days of public launch. Defer-able for soft launch only.</t>
  </si>
  <si>
    <t xml:space="preserve">Nice-to-have. Roadmap. No launch dependency.</t>
  </si>
  <si>
    <t xml:space="preserve">OWNER</t>
  </si>
  <si>
    <t xml:space="preserve">Pure software implementation Lovable AI can do (UI, schema, business logic).</t>
  </si>
  <si>
    <t xml:space="preserve">Manual / operational work requiring real-world action (file LLC, buy insurance, register accounts).</t>
  </si>
  <si>
    <t xml:space="preserve">Lovable can scaffold but Nathan must complete (e.g., vendor account setup + integration).</t>
  </si>
  <si>
    <t xml:space="preserve">Attorney</t>
  </si>
  <si>
    <t xml:space="preserve">Outside legal counsel.</t>
  </si>
  <si>
    <t xml:space="preserve">Vendor</t>
  </si>
  <si>
    <t xml:space="preserve">Third-party vendor (Stripe, Checkr, Twilio, OneSignal, etc.).</t>
  </si>
  <si>
    <t xml:space="preserve">No specific owner; environmental setup.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</si>
</sst>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DC2626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4F46E5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D7AA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>
          <bgColor rgb="FFF3F4F6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6EE7B7"/>
        </patternFill>
      </fill>
    </dxf>
    <dxf>
      <fill>
        <patternFill>
          <bgColor rgb="FFFECACA"/>
        </patternFill>
      </fill>
    </dxf>
    <dxf>
      <fill>
        <patternFill>
          <bgColor rgb="FFFED7AA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FECA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EE2E2"/>
      <rgbColor rgb="FF99CCFF"/>
      <rgbColor rgb="FFFF99CC"/>
      <rgbColor rgb="FFCC99FF"/>
      <rgbColor rgb="FFFED7AA"/>
      <rgbColor rgb="FF4F46E5"/>
      <rgbColor rgb="FF6EE7B7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n">
        <f aca="false">COUNTIF(Items!E:E,"Not Started")</f>
        <v>90</v>
      </c>
      <c r="C6" s="6" t="n">
        <f aca="false">B6/90</f>
        <v>1</v>
      </c>
    </row>
    <row r="7" customFormat="false" ht="15" hidden="false" customHeight="false" outlineLevel="0" collapsed="false">
      <c r="A7" s="5" t="s">
        <v>7</v>
      </c>
      <c r="B7" s="5" t="n">
        <f aca="false">COUNTIF(Items!E:E,"In Progress")</f>
        <v>0</v>
      </c>
      <c r="C7" s="6" t="n">
        <f aca="false">B7/90</f>
        <v>0</v>
      </c>
    </row>
    <row r="8" customFormat="false" ht="15" hidden="false" customHeight="false" outlineLevel="0" collapsed="false">
      <c r="A8" s="5" t="s">
        <v>8</v>
      </c>
      <c r="B8" s="5" t="n">
        <f aca="false">COUNTIF(Items!E:E,"Blocked")</f>
        <v>0</v>
      </c>
      <c r="C8" s="6" t="n">
        <f aca="false">B8/90</f>
        <v>0</v>
      </c>
    </row>
    <row r="9" customFormat="false" ht="15" hidden="false" customHeight="false" outlineLevel="0" collapsed="false">
      <c r="A9" s="5" t="s">
        <v>9</v>
      </c>
      <c r="B9" s="5" t="n">
        <f aca="false">COUNTIF(Items!E:E,"Done")</f>
        <v>0</v>
      </c>
      <c r="C9" s="6" t="n">
        <f aca="false">B9/90</f>
        <v>0</v>
      </c>
    </row>
    <row r="10" customFormat="false" ht="15" hidden="false" customHeight="false" outlineLevel="0" collapsed="false">
      <c r="A10" s="5" t="s">
        <v>10</v>
      </c>
      <c r="B10" s="5" t="n">
        <f aca="false">COUNTIF(Items!E:E,"Verified")</f>
        <v>0</v>
      </c>
      <c r="C10" s="6" t="n">
        <f aca="false">B10/90</f>
        <v>0</v>
      </c>
    </row>
    <row r="11" customFormat="false" ht="15" hidden="false" customHeight="false" outlineLevel="0" collapsed="false">
      <c r="A11" s="7" t="s">
        <v>11</v>
      </c>
      <c r="B11" s="7" t="n">
        <f aca="false">SUM(B6:B10)</f>
        <v>90</v>
      </c>
      <c r="C11" s="8" t="n">
        <f aca="false">B11/90</f>
        <v>1</v>
      </c>
    </row>
    <row r="13" customFormat="false" ht="15" hidden="false" customHeight="false" outlineLevel="0" collapsed="false">
      <c r="A13" s="3" t="s">
        <v>12</v>
      </c>
      <c r="B13" s="3"/>
    </row>
    <row r="14" customFormat="false" ht="15" hidden="false" customHeight="false" outlineLevel="0" collapsed="false">
      <c r="A14" s="4" t="s">
        <v>13</v>
      </c>
      <c r="B14" s="4" t="s">
        <v>11</v>
      </c>
      <c r="C14" s="4" t="s">
        <v>14</v>
      </c>
      <c r="D14" s="4" t="s">
        <v>15</v>
      </c>
    </row>
    <row r="15" customFormat="false" ht="15" hidden="false" customHeight="false" outlineLevel="0" collapsed="false">
      <c r="A15" s="5" t="s">
        <v>16</v>
      </c>
      <c r="B15" s="5" t="n">
        <f aca="false">COUNTIF(Items!D:D,"P0")</f>
        <v>62</v>
      </c>
      <c r="C15" s="5" t="n">
        <f aca="false">COUNTIFS(Items!D:D,"P0",Items!E:E,"Done")+COUNTIFS(Items!D:D,"P0",Items!E:E,"Verified")</f>
        <v>0</v>
      </c>
      <c r="D15" s="6" t="n">
        <f aca="false">IFERROR(C15/B15,0)</f>
        <v>0</v>
      </c>
    </row>
    <row r="16" customFormat="false" ht="15" hidden="false" customHeight="false" outlineLevel="0" collapsed="false">
      <c r="A16" s="5" t="s">
        <v>17</v>
      </c>
      <c r="B16" s="5" t="n">
        <f aca="false">COUNTIF(Items!D:D,"P1")</f>
        <v>25</v>
      </c>
      <c r="C16" s="5" t="n">
        <f aca="false">COUNTIFS(Items!D:D,"P1",Items!E:E,"Done")+COUNTIFS(Items!D:D,"P1",Items!E:E,"Verified")</f>
        <v>0</v>
      </c>
      <c r="D16" s="6" t="n">
        <f aca="false">IFERROR(C16/B16,0)</f>
        <v>0</v>
      </c>
    </row>
    <row r="17" customFormat="false" ht="15" hidden="false" customHeight="false" outlineLevel="0" collapsed="false">
      <c r="A17" s="5" t="s">
        <v>18</v>
      </c>
      <c r="B17" s="5" t="n">
        <f aca="false">COUNTIF(Items!D:D,"P2")</f>
        <v>3</v>
      </c>
      <c r="C17" s="5" t="n">
        <f aca="false">COUNTIFS(Items!D:D,"P2",Items!E:E,"Done")+COUNTIFS(Items!D:D,"P2",Items!E:E,"Verified")</f>
        <v>0</v>
      </c>
      <c r="D17" s="6" t="n">
        <f aca="false">IFERROR(C17/B17,0)</f>
        <v>0</v>
      </c>
    </row>
    <row r="18" customFormat="false" ht="15" hidden="false" customHeight="false" outlineLevel="0" collapsed="false">
      <c r="A18" s="5" t="s">
        <v>19</v>
      </c>
      <c r="B18" s="5" t="n">
        <f aca="false">COUNTIF(Items!D:D,"P3")</f>
        <v>0</v>
      </c>
      <c r="C18" s="5" t="n">
        <f aca="false">COUNTIFS(Items!D:D,"P3",Items!E:E,"Done")+COUNTIFS(Items!D:D,"P3",Items!E:E,"Verified")</f>
        <v>0</v>
      </c>
      <c r="D18" s="6" t="n">
        <f aca="false">IFERROR(C18/B18,0)</f>
        <v>0</v>
      </c>
    </row>
    <row r="20" customFormat="false" ht="15" hidden="false" customHeight="false" outlineLevel="0" collapsed="false">
      <c r="A20" s="3" t="s">
        <v>20</v>
      </c>
      <c r="B20" s="3"/>
      <c r="C20" s="3"/>
      <c r="D20" s="3"/>
      <c r="E20" s="3"/>
    </row>
    <row r="21" customFormat="false" ht="15" hidden="false" customHeight="false" outlineLevel="0" collapsed="false">
      <c r="A21" s="4" t="s">
        <v>21</v>
      </c>
      <c r="B21" s="4" t="s">
        <v>22</v>
      </c>
      <c r="C21" s="4" t="s">
        <v>9</v>
      </c>
      <c r="D21" s="4" t="s">
        <v>10</v>
      </c>
      <c r="E21" s="4" t="s">
        <v>15</v>
      </c>
    </row>
    <row r="22" customFormat="false" ht="15" hidden="false" customHeight="false" outlineLevel="0" collapsed="false">
      <c r="A22" s="5" t="s">
        <v>23</v>
      </c>
      <c r="B22" s="5" t="n">
        <f aca="false">COUNTIF(Items!B:B,"1. Foundation")</f>
        <v>10</v>
      </c>
      <c r="C22" s="5" t="n">
        <f aca="false">COUNTIFS(Items!B:B,"1. Foundation",Items!E:E,"Done")</f>
        <v>0</v>
      </c>
      <c r="D22" s="5" t="n">
        <f aca="false">COUNTIFS(Items!B:B,"1. Foundation",Items!E:E,"Verified")</f>
        <v>0</v>
      </c>
      <c r="E22" s="6" t="n">
        <f aca="false">IFERROR((C22+D22)/B22,0)</f>
        <v>0</v>
      </c>
    </row>
    <row r="23" customFormat="false" ht="15" hidden="false" customHeight="false" outlineLevel="0" collapsed="false">
      <c r="A23" s="5" t="s">
        <v>24</v>
      </c>
      <c r="B23" s="5" t="n">
        <f aca="false">COUNTIF(Items!B:B,"10. SMS Logic")</f>
        <v>3</v>
      </c>
      <c r="C23" s="5" t="n">
        <f aca="false">COUNTIFS(Items!B:B,"10. SMS Logic",Items!E:E,"Done")</f>
        <v>0</v>
      </c>
      <c r="D23" s="5" t="n">
        <f aca="false">COUNTIFS(Items!B:B,"10. SMS Logic",Items!E:E,"Verified")</f>
        <v>0</v>
      </c>
      <c r="E23" s="6" t="n">
        <f aca="false">IFERROR((C23+D23)/B23,0)</f>
        <v>0</v>
      </c>
    </row>
    <row r="24" customFormat="false" ht="15" hidden="false" customHeight="false" outlineLevel="0" collapsed="false">
      <c r="A24" s="5" t="s">
        <v>25</v>
      </c>
      <c r="B24" s="5" t="n">
        <f aca="false">COUNTIF(Items!B:B,"11. Trust &amp; Safety")</f>
        <v>7</v>
      </c>
      <c r="C24" s="5" t="n">
        <f aca="false">COUNTIFS(Items!B:B,"11. Trust &amp; Safety",Items!E:E,"Done")</f>
        <v>0</v>
      </c>
      <c r="D24" s="5" t="n">
        <f aca="false">COUNTIFS(Items!B:B,"11. Trust &amp; Safety",Items!E:E,"Verified")</f>
        <v>0</v>
      </c>
      <c r="E24" s="6" t="n">
        <f aca="false">IFERROR((C24+D24)/B24,0)</f>
        <v>0</v>
      </c>
    </row>
    <row r="25" customFormat="false" ht="15" hidden="false" customHeight="false" outlineLevel="0" collapsed="false">
      <c r="A25" s="5" t="s">
        <v>26</v>
      </c>
      <c r="B25" s="5" t="n">
        <f aca="false">COUNTIF(Items!B:B,"12. Reviews")</f>
        <v>1</v>
      </c>
      <c r="C25" s="5" t="n">
        <f aca="false">COUNTIFS(Items!B:B,"12. Reviews",Items!E:E,"Done")</f>
        <v>0</v>
      </c>
      <c r="D25" s="5" t="n">
        <f aca="false">COUNTIFS(Items!B:B,"12. Reviews",Items!E:E,"Verified")</f>
        <v>0</v>
      </c>
      <c r="E25" s="6" t="n">
        <f aca="false">IFERROR((C25+D25)/B25,0)</f>
        <v>0</v>
      </c>
    </row>
    <row r="26" customFormat="false" ht="15" hidden="false" customHeight="false" outlineLevel="0" collapsed="false">
      <c r="A26" s="5" t="s">
        <v>27</v>
      </c>
      <c r="B26" s="5" t="n">
        <f aca="false">COUNTIF(Items!B:B,"13. Accessibility")</f>
        <v>7</v>
      </c>
      <c r="C26" s="5" t="n">
        <f aca="false">COUNTIFS(Items!B:B,"13. Accessibility",Items!E:E,"Done")</f>
        <v>0</v>
      </c>
      <c r="D26" s="5" t="n">
        <f aca="false">COUNTIFS(Items!B:B,"13. Accessibility",Items!E:E,"Verified")</f>
        <v>0</v>
      </c>
      <c r="E26" s="6" t="n">
        <f aca="false">IFERROR((C26+D26)/B26,0)</f>
        <v>0</v>
      </c>
    </row>
    <row r="27" customFormat="false" ht="15" hidden="false" customHeight="false" outlineLevel="0" collapsed="false">
      <c r="A27" s="5" t="s">
        <v>28</v>
      </c>
      <c r="B27" s="5" t="n">
        <f aca="false">COUNTIF(Items!B:B,"14. Mobile")</f>
        <v>5</v>
      </c>
      <c r="C27" s="5" t="n">
        <f aca="false">COUNTIFS(Items!B:B,"14. Mobile",Items!E:E,"Done")</f>
        <v>0</v>
      </c>
      <c r="D27" s="5" t="n">
        <f aca="false">COUNTIFS(Items!B:B,"14. Mobile",Items!E:E,"Verified")</f>
        <v>0</v>
      </c>
      <c r="E27" s="6" t="n">
        <f aca="false">IFERROR((C27+D27)/B27,0)</f>
        <v>0</v>
      </c>
    </row>
    <row r="28" customFormat="false" ht="15" hidden="false" customHeight="false" outlineLevel="0" collapsed="false">
      <c r="A28" s="5" t="s">
        <v>29</v>
      </c>
      <c r="B28" s="5" t="n">
        <f aca="false">COUNTIF(Items!B:B,"15. Admin")</f>
        <v>6</v>
      </c>
      <c r="C28" s="5" t="n">
        <f aca="false">COUNTIFS(Items!B:B,"15. Admin",Items!E:E,"Done")</f>
        <v>0</v>
      </c>
      <c r="D28" s="5" t="n">
        <f aca="false">COUNTIFS(Items!B:B,"15. Admin",Items!E:E,"Verified")</f>
        <v>0</v>
      </c>
      <c r="E28" s="6" t="n">
        <f aca="false">IFERROR((C28+D28)/B28,0)</f>
        <v>0</v>
      </c>
    </row>
    <row r="29" customFormat="false" ht="15" hidden="false" customHeight="false" outlineLevel="0" collapsed="false">
      <c r="A29" s="5" t="s">
        <v>30</v>
      </c>
      <c r="B29" s="5" t="n">
        <f aca="false">COUNTIF(Items!B:B,"2. Global UI")</f>
        <v>4</v>
      </c>
      <c r="C29" s="5" t="n">
        <f aca="false">COUNTIFS(Items!B:B,"2. Global UI",Items!E:E,"Done")</f>
        <v>0</v>
      </c>
      <c r="D29" s="5" t="n">
        <f aca="false">COUNTIFS(Items!B:B,"2. Global UI",Items!E:E,"Verified")</f>
        <v>0</v>
      </c>
      <c r="E29" s="6" t="n">
        <f aca="false">IFERROR((C29+D29)/B29,0)</f>
        <v>0</v>
      </c>
    </row>
    <row r="30" customFormat="false" ht="15" hidden="false" customHeight="false" outlineLevel="0" collapsed="false">
      <c r="A30" s="5" t="s">
        <v>31</v>
      </c>
      <c r="B30" s="5" t="n">
        <f aca="false">COUNTIF(Items!B:B,"3. Legal Pages")</f>
        <v>10</v>
      </c>
      <c r="C30" s="5" t="n">
        <f aca="false">COUNTIFS(Items!B:B,"3. Legal Pages",Items!E:E,"Done")</f>
        <v>0</v>
      </c>
      <c r="D30" s="5" t="n">
        <f aca="false">COUNTIFS(Items!B:B,"3. Legal Pages",Items!E:E,"Verified")</f>
        <v>0</v>
      </c>
      <c r="E30" s="6" t="n">
        <f aca="false">IFERROR((C30+D30)/B30,0)</f>
        <v>0</v>
      </c>
    </row>
    <row r="31" customFormat="false" ht="15" hidden="false" customHeight="false" outlineLevel="0" collapsed="false">
      <c r="A31" s="5" t="s">
        <v>32</v>
      </c>
      <c r="B31" s="5" t="n">
        <f aca="false">COUNTIF(Items!B:B,"4. Client Signup")</f>
        <v>3</v>
      </c>
      <c r="C31" s="5" t="n">
        <f aca="false">COUNTIFS(Items!B:B,"4. Client Signup",Items!E:E,"Done")</f>
        <v>0</v>
      </c>
      <c r="D31" s="5" t="n">
        <f aca="false">COUNTIFS(Items!B:B,"4. Client Signup",Items!E:E,"Verified")</f>
        <v>0</v>
      </c>
      <c r="E31" s="6" t="n">
        <f aca="false">IFERROR((C31+D31)/B31,0)</f>
        <v>0</v>
      </c>
    </row>
    <row r="32" customFormat="false" ht="15" hidden="false" customHeight="false" outlineLevel="0" collapsed="false">
      <c r="A32" s="5" t="s">
        <v>33</v>
      </c>
      <c r="B32" s="5" t="n">
        <f aca="false">COUNTIF(Items!B:B,"5. Pro Signup")</f>
        <v>12</v>
      </c>
      <c r="C32" s="5" t="n">
        <f aca="false">COUNTIFS(Items!B:B,"5. Pro Signup",Items!E:E,"Done")</f>
        <v>0</v>
      </c>
      <c r="D32" s="5" t="n">
        <f aca="false">COUNTIFS(Items!B:B,"5. Pro Signup",Items!E:E,"Verified")</f>
        <v>0</v>
      </c>
      <c r="E32" s="6" t="n">
        <f aca="false">IFERROR((C32+D32)/B32,0)</f>
        <v>0</v>
      </c>
    </row>
    <row r="33" customFormat="false" ht="15" hidden="false" customHeight="false" outlineLevel="0" collapsed="false">
      <c r="A33" s="5" t="s">
        <v>34</v>
      </c>
      <c r="B33" s="5" t="n">
        <f aca="false">COUNTIF(Items!B:B,"6. Booking Flow")</f>
        <v>4</v>
      </c>
      <c r="C33" s="5" t="n">
        <f aca="false">COUNTIFS(Items!B:B,"6. Booking Flow",Items!E:E,"Done")</f>
        <v>0</v>
      </c>
      <c r="D33" s="5" t="n">
        <f aca="false">COUNTIFS(Items!B:B,"6. Booking Flow",Items!E:E,"Verified")</f>
        <v>0</v>
      </c>
      <c r="E33" s="6" t="n">
        <f aca="false">IFERROR((C33+D33)/B33,0)</f>
        <v>0</v>
      </c>
    </row>
    <row r="34" customFormat="false" ht="15" hidden="false" customHeight="false" outlineLevel="0" collapsed="false">
      <c r="A34" s="5" t="s">
        <v>35</v>
      </c>
      <c r="B34" s="5" t="n">
        <f aca="false">COUNTIF(Items!B:B,"7. Payment")</f>
        <v>5</v>
      </c>
      <c r="C34" s="5" t="n">
        <f aca="false">COUNTIFS(Items!B:B,"7. Payment",Items!E:E,"Done")</f>
        <v>0</v>
      </c>
      <c r="D34" s="5" t="n">
        <f aca="false">COUNTIFS(Items!B:B,"7. Payment",Items!E:E,"Verified")</f>
        <v>0</v>
      </c>
      <c r="E34" s="6" t="n">
        <f aca="false">IFERROR((C34+D34)/B34,0)</f>
        <v>0</v>
      </c>
    </row>
    <row r="35" customFormat="false" ht="15" hidden="false" customHeight="false" outlineLevel="0" collapsed="false">
      <c r="A35" s="5" t="s">
        <v>36</v>
      </c>
      <c r="B35" s="5" t="n">
        <f aca="false">COUNTIF(Items!B:B,"8. Cancellation")</f>
        <v>6</v>
      </c>
      <c r="C35" s="5" t="n">
        <f aca="false">COUNTIFS(Items!B:B,"8. Cancellation",Items!E:E,"Done")</f>
        <v>0</v>
      </c>
      <c r="D35" s="5" t="n">
        <f aca="false">COUNTIFS(Items!B:B,"8. Cancellation",Items!E:E,"Verified")</f>
        <v>0</v>
      </c>
      <c r="E35" s="6" t="n">
        <f aca="false">IFERROR((C35+D35)/B35,0)</f>
        <v>0</v>
      </c>
    </row>
    <row r="36" customFormat="false" ht="15" hidden="false" customHeight="false" outlineLevel="0" collapsed="false">
      <c r="A36" s="5" t="s">
        <v>37</v>
      </c>
      <c r="B36" s="5" t="n">
        <f aca="false">COUNTIF(Items!B:B,"9. Account Settings")</f>
        <v>7</v>
      </c>
      <c r="C36" s="5" t="n">
        <f aca="false">COUNTIFS(Items!B:B,"9. Account Settings",Items!E:E,"Done")</f>
        <v>0</v>
      </c>
      <c r="D36" s="5" t="n">
        <f aca="false">COUNTIFS(Items!B:B,"9. Account Settings",Items!E:E,"Verified")</f>
        <v>0</v>
      </c>
      <c r="E36" s="6" t="n">
        <f aca="false">IFERROR((C36+D36)/B36,0)</f>
        <v>0</v>
      </c>
    </row>
    <row r="39" customFormat="false" ht="15" hidden="false" customHeight="false" outlineLevel="0" collapsed="false">
      <c r="A39" s="9" t="s">
        <v>38</v>
      </c>
      <c r="B39" s="9"/>
      <c r="C39" s="9"/>
      <c r="D39" s="9"/>
      <c r="E39" s="9"/>
    </row>
    <row r="40" customFormat="false" ht="15" hidden="false" customHeight="false" outlineLevel="0" collapsed="false">
      <c r="A40" s="10" t="s">
        <v>39</v>
      </c>
      <c r="B40" s="11" t="s">
        <v>40</v>
      </c>
      <c r="C40" s="11"/>
      <c r="D40" s="11"/>
      <c r="E40" s="11"/>
    </row>
    <row r="41" customFormat="false" ht="15" hidden="false" customHeight="false" outlineLevel="0" collapsed="false">
      <c r="A41" s="10" t="s">
        <v>41</v>
      </c>
      <c r="B41" s="11" t="s">
        <v>42</v>
      </c>
      <c r="C41" s="11"/>
      <c r="D41" s="11"/>
      <c r="E41" s="11"/>
    </row>
    <row r="42" customFormat="false" ht="15" hidden="false" customHeight="false" outlineLevel="0" collapsed="false">
      <c r="A42" s="10" t="s">
        <v>43</v>
      </c>
      <c r="B42" s="11" t="s">
        <v>44</v>
      </c>
      <c r="C42" s="11"/>
      <c r="D42" s="11"/>
      <c r="E42" s="11"/>
    </row>
    <row r="43" customFormat="false" ht="15" hidden="false" customHeight="false" outlineLevel="0" collapsed="false">
      <c r="A43" s="10" t="s">
        <v>45</v>
      </c>
      <c r="B43" s="11" t="s">
        <v>46</v>
      </c>
      <c r="C43" s="11"/>
      <c r="D43" s="11"/>
      <c r="E43" s="11"/>
    </row>
    <row r="44" customFormat="false" ht="15" hidden="false" customHeight="false" outlineLevel="0" collapsed="false">
      <c r="A44" s="10" t="s">
        <v>47</v>
      </c>
      <c r="B44" s="11" t="s">
        <v>48</v>
      </c>
      <c r="C44" s="11"/>
      <c r="D44" s="11"/>
      <c r="E44" s="11"/>
    </row>
    <row r="45" customFormat="false" ht="15" hidden="false" customHeight="false" outlineLevel="0" collapsed="false">
      <c r="A45" s="10" t="s">
        <v>49</v>
      </c>
      <c r="B45" s="11" t="s">
        <v>50</v>
      </c>
      <c r="C45" s="11"/>
      <c r="D45" s="11"/>
      <c r="E45" s="11"/>
    </row>
    <row r="46" customFormat="false" ht="15" hidden="false" customHeight="false" outlineLevel="0" collapsed="false">
      <c r="A46" s="10" t="s">
        <v>51</v>
      </c>
      <c r="B46" s="11" t="s">
        <v>52</v>
      </c>
      <c r="C46" s="11"/>
      <c r="D46" s="11"/>
      <c r="E46" s="11"/>
    </row>
    <row r="47" customFormat="false" ht="15" hidden="false" customHeight="false" outlineLevel="0" collapsed="false">
      <c r="A47" s="10" t="s">
        <v>53</v>
      </c>
      <c r="B47" s="11" t="s">
        <v>54</v>
      </c>
      <c r="C47" s="11"/>
      <c r="D47" s="11"/>
      <c r="E47" s="11"/>
    </row>
  </sheetData>
  <mergeCells count="14">
    <mergeCell ref="A1:E1"/>
    <mergeCell ref="A2:E2"/>
    <mergeCell ref="A4:B4"/>
    <mergeCell ref="A13:B13"/>
    <mergeCell ref="A20:E20"/>
    <mergeCell ref="A39:E39"/>
    <mergeCell ref="B40:E40"/>
    <mergeCell ref="B41:E41"/>
    <mergeCell ref="B42:E42"/>
    <mergeCell ref="B43:E43"/>
    <mergeCell ref="B44:E44"/>
    <mergeCell ref="B45:E45"/>
    <mergeCell ref="B46:E46"/>
    <mergeCell ref="B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50"/>
    <col collapsed="false" customWidth="true" hidden="false" outlineLevel="0" max="12" min="9" style="0" width="14"/>
    <col collapsed="false" customWidth="true" hidden="false" outlineLevel="0" max="13" min="13" style="0" width="30"/>
  </cols>
  <sheetData>
    <row r="1" customFormat="false" ht="31.5" hidden="false" customHeight="true" outlineLevel="0" collapsed="false">
      <c r="A1" s="12" t="s">
        <v>55</v>
      </c>
      <c r="B1" s="12" t="s">
        <v>21</v>
      </c>
      <c r="C1" s="12" t="s">
        <v>56</v>
      </c>
      <c r="D1" s="12" t="s">
        <v>13</v>
      </c>
      <c r="E1" s="12" t="s">
        <v>3</v>
      </c>
      <c r="F1" s="12" t="s">
        <v>57</v>
      </c>
      <c r="G1" s="12" t="s">
        <v>58</v>
      </c>
      <c r="H1" s="12" t="s">
        <v>59</v>
      </c>
      <c r="I1" s="12" t="s">
        <v>60</v>
      </c>
      <c r="J1" s="12" t="s">
        <v>61</v>
      </c>
      <c r="K1" s="12" t="s">
        <v>62</v>
      </c>
      <c r="L1" s="12" t="s">
        <v>63</v>
      </c>
      <c r="M1" s="12" t="s">
        <v>64</v>
      </c>
    </row>
    <row r="2" customFormat="false" ht="48" hidden="false" customHeight="true" outlineLevel="0" collapsed="false">
      <c r="A2" s="13" t="s">
        <v>45</v>
      </c>
      <c r="B2" s="14" t="s">
        <v>23</v>
      </c>
      <c r="C2" s="14" t="s">
        <v>65</v>
      </c>
      <c r="D2" s="13" t="s">
        <v>16</v>
      </c>
      <c r="E2" s="14" t="s">
        <v>6</v>
      </c>
      <c r="F2" s="14" t="s">
        <v>66</v>
      </c>
      <c r="G2" s="14" t="s">
        <v>67</v>
      </c>
      <c r="H2" s="14" t="s">
        <v>68</v>
      </c>
      <c r="I2" s="14"/>
      <c r="J2" s="14"/>
      <c r="K2" s="14"/>
      <c r="L2" s="14"/>
      <c r="M2" s="14"/>
    </row>
    <row r="3" customFormat="false" ht="48" hidden="false" customHeight="true" outlineLevel="0" collapsed="false">
      <c r="A3" s="15" t="s">
        <v>69</v>
      </c>
      <c r="B3" s="16" t="s">
        <v>23</v>
      </c>
      <c r="C3" s="16" t="s">
        <v>70</v>
      </c>
      <c r="D3" s="15" t="s">
        <v>16</v>
      </c>
      <c r="E3" s="16" t="s">
        <v>6</v>
      </c>
      <c r="F3" s="16" t="s">
        <v>66</v>
      </c>
      <c r="G3" s="16" t="s">
        <v>67</v>
      </c>
      <c r="H3" s="16" t="s">
        <v>71</v>
      </c>
      <c r="I3" s="16"/>
      <c r="J3" s="16"/>
      <c r="K3" s="16"/>
      <c r="L3" s="16"/>
      <c r="M3" s="16"/>
    </row>
    <row r="4" customFormat="false" ht="48" hidden="false" customHeight="true" outlineLevel="0" collapsed="false">
      <c r="A4" s="15" t="s">
        <v>72</v>
      </c>
      <c r="B4" s="16" t="s">
        <v>23</v>
      </c>
      <c r="C4" s="16" t="s">
        <v>73</v>
      </c>
      <c r="D4" s="15" t="s">
        <v>16</v>
      </c>
      <c r="E4" s="16" t="s">
        <v>6</v>
      </c>
      <c r="F4" s="16" t="s">
        <v>66</v>
      </c>
      <c r="G4" s="16" t="s">
        <v>45</v>
      </c>
      <c r="H4" s="16" t="s">
        <v>74</v>
      </c>
      <c r="I4" s="16"/>
      <c r="J4" s="16"/>
      <c r="K4" s="16"/>
      <c r="L4" s="16"/>
      <c r="M4" s="16"/>
    </row>
    <row r="5" customFormat="false" ht="48" hidden="false" customHeight="true" outlineLevel="0" collapsed="false">
      <c r="A5" s="15" t="s">
        <v>75</v>
      </c>
      <c r="B5" s="16" t="s">
        <v>23</v>
      </c>
      <c r="C5" s="16" t="s">
        <v>76</v>
      </c>
      <c r="D5" s="15" t="s">
        <v>16</v>
      </c>
      <c r="E5" s="16" t="s">
        <v>6</v>
      </c>
      <c r="F5" s="16" t="s">
        <v>66</v>
      </c>
      <c r="G5" s="16" t="s">
        <v>72</v>
      </c>
      <c r="H5" s="16" t="s">
        <v>77</v>
      </c>
      <c r="I5" s="16"/>
      <c r="J5" s="16"/>
      <c r="K5" s="16"/>
      <c r="L5" s="16"/>
      <c r="M5" s="16"/>
    </row>
    <row r="6" customFormat="false" ht="48" hidden="false" customHeight="true" outlineLevel="0" collapsed="false">
      <c r="A6" s="15" t="s">
        <v>78</v>
      </c>
      <c r="B6" s="16" t="s">
        <v>23</v>
      </c>
      <c r="C6" s="16" t="s">
        <v>79</v>
      </c>
      <c r="D6" s="15" t="s">
        <v>16</v>
      </c>
      <c r="E6" s="16" t="s">
        <v>6</v>
      </c>
      <c r="F6" s="16" t="s">
        <v>66</v>
      </c>
      <c r="G6" s="16" t="s">
        <v>72</v>
      </c>
      <c r="H6" s="16" t="s">
        <v>80</v>
      </c>
      <c r="I6" s="16"/>
      <c r="J6" s="16"/>
      <c r="K6" s="16"/>
      <c r="L6" s="16"/>
      <c r="M6" s="16"/>
    </row>
    <row r="7" customFormat="false" ht="48" hidden="false" customHeight="true" outlineLevel="0" collapsed="false">
      <c r="A7" s="13" t="s">
        <v>47</v>
      </c>
      <c r="B7" s="14" t="s">
        <v>23</v>
      </c>
      <c r="C7" s="14" t="s">
        <v>81</v>
      </c>
      <c r="D7" s="13" t="s">
        <v>16</v>
      </c>
      <c r="E7" s="14" t="s">
        <v>6</v>
      </c>
      <c r="F7" s="14" t="s">
        <v>66</v>
      </c>
      <c r="G7" s="14" t="s">
        <v>72</v>
      </c>
      <c r="H7" s="14" t="s">
        <v>82</v>
      </c>
      <c r="I7" s="14"/>
      <c r="J7" s="14"/>
      <c r="K7" s="14"/>
      <c r="L7" s="14"/>
      <c r="M7" s="14"/>
    </row>
    <row r="8" customFormat="false" ht="48" hidden="false" customHeight="true" outlineLevel="0" collapsed="false">
      <c r="A8" s="15" t="s">
        <v>83</v>
      </c>
      <c r="B8" s="16" t="s">
        <v>23</v>
      </c>
      <c r="C8" s="16" t="s">
        <v>84</v>
      </c>
      <c r="D8" s="15" t="s">
        <v>16</v>
      </c>
      <c r="E8" s="16" t="s">
        <v>6</v>
      </c>
      <c r="F8" s="16" t="s">
        <v>66</v>
      </c>
      <c r="G8" s="16" t="s">
        <v>67</v>
      </c>
      <c r="H8" s="16" t="s">
        <v>85</v>
      </c>
      <c r="I8" s="16"/>
      <c r="J8" s="16"/>
      <c r="K8" s="16"/>
      <c r="L8" s="16"/>
      <c r="M8" s="16"/>
    </row>
    <row r="9" customFormat="false" ht="48" hidden="false" customHeight="true" outlineLevel="0" collapsed="false">
      <c r="A9" s="15" t="s">
        <v>86</v>
      </c>
      <c r="B9" s="16" t="s">
        <v>23</v>
      </c>
      <c r="C9" s="16" t="s">
        <v>87</v>
      </c>
      <c r="D9" s="15" t="s">
        <v>16</v>
      </c>
      <c r="E9" s="16" t="s">
        <v>6</v>
      </c>
      <c r="F9" s="16" t="s">
        <v>88</v>
      </c>
      <c r="G9" s="16" t="s">
        <v>67</v>
      </c>
      <c r="H9" s="16" t="s">
        <v>89</v>
      </c>
      <c r="I9" s="16"/>
      <c r="J9" s="16"/>
      <c r="K9" s="16"/>
      <c r="L9" s="16"/>
      <c r="M9" s="16"/>
    </row>
    <row r="10" customFormat="false" ht="48" hidden="false" customHeight="true" outlineLevel="0" collapsed="false">
      <c r="A10" s="15" t="s">
        <v>90</v>
      </c>
      <c r="B10" s="16" t="s">
        <v>23</v>
      </c>
      <c r="C10" s="16" t="s">
        <v>91</v>
      </c>
      <c r="D10" s="15" t="s">
        <v>16</v>
      </c>
      <c r="E10" s="16" t="s">
        <v>6</v>
      </c>
      <c r="F10" s="16" t="s">
        <v>66</v>
      </c>
      <c r="G10" s="16" t="s">
        <v>67</v>
      </c>
      <c r="H10" s="16" t="s">
        <v>92</v>
      </c>
      <c r="I10" s="16"/>
      <c r="J10" s="16"/>
      <c r="K10" s="16"/>
      <c r="L10" s="16"/>
      <c r="M10" s="16"/>
    </row>
    <row r="11" customFormat="false" ht="48" hidden="false" customHeight="true" outlineLevel="0" collapsed="false">
      <c r="A11" s="15" t="s">
        <v>93</v>
      </c>
      <c r="B11" s="16" t="s">
        <v>23</v>
      </c>
      <c r="C11" s="16" t="s">
        <v>94</v>
      </c>
      <c r="D11" s="15" t="s">
        <v>16</v>
      </c>
      <c r="E11" s="16" t="s">
        <v>6</v>
      </c>
      <c r="F11" s="16" t="s">
        <v>66</v>
      </c>
      <c r="G11" s="16" t="s">
        <v>67</v>
      </c>
      <c r="H11" s="16" t="s">
        <v>95</v>
      </c>
      <c r="I11" s="16"/>
      <c r="J11" s="16"/>
      <c r="K11" s="16"/>
      <c r="L11" s="16"/>
      <c r="M11" s="16"/>
    </row>
    <row r="12" customFormat="false" ht="48" hidden="false" customHeight="true" outlineLevel="0" collapsed="false">
      <c r="A12" s="15" t="s">
        <v>96</v>
      </c>
      <c r="B12" s="16" t="s">
        <v>30</v>
      </c>
      <c r="C12" s="16" t="s">
        <v>97</v>
      </c>
      <c r="D12" s="15" t="s">
        <v>16</v>
      </c>
      <c r="E12" s="16" t="s">
        <v>6</v>
      </c>
      <c r="F12" s="16" t="s">
        <v>66</v>
      </c>
      <c r="G12" s="16" t="s">
        <v>93</v>
      </c>
      <c r="H12" s="16" t="s">
        <v>98</v>
      </c>
      <c r="I12" s="16"/>
      <c r="J12" s="16"/>
      <c r="K12" s="16"/>
      <c r="L12" s="16"/>
      <c r="M12" s="16"/>
    </row>
    <row r="13" customFormat="false" ht="48" hidden="false" customHeight="true" outlineLevel="0" collapsed="false">
      <c r="A13" s="15" t="s">
        <v>99</v>
      </c>
      <c r="B13" s="16" t="s">
        <v>30</v>
      </c>
      <c r="C13" s="16" t="s">
        <v>100</v>
      </c>
      <c r="D13" s="15" t="s">
        <v>16</v>
      </c>
      <c r="E13" s="16" t="s">
        <v>6</v>
      </c>
      <c r="F13" s="16" t="s">
        <v>66</v>
      </c>
      <c r="G13" s="16" t="s">
        <v>101</v>
      </c>
      <c r="H13" s="16" t="s">
        <v>102</v>
      </c>
      <c r="I13" s="16"/>
      <c r="J13" s="16"/>
      <c r="K13" s="16"/>
      <c r="L13" s="16"/>
      <c r="M13" s="16"/>
    </row>
    <row r="14" customFormat="false" ht="48" hidden="false" customHeight="true" outlineLevel="0" collapsed="false">
      <c r="A14" s="13" t="s">
        <v>49</v>
      </c>
      <c r="B14" s="14" t="s">
        <v>30</v>
      </c>
      <c r="C14" s="14" t="s">
        <v>103</v>
      </c>
      <c r="D14" s="13" t="s">
        <v>16</v>
      </c>
      <c r="E14" s="14" t="s">
        <v>6</v>
      </c>
      <c r="F14" s="14" t="s">
        <v>66</v>
      </c>
      <c r="G14" s="14" t="s">
        <v>45</v>
      </c>
      <c r="H14" s="14" t="s">
        <v>104</v>
      </c>
      <c r="I14" s="14"/>
      <c r="J14" s="14"/>
      <c r="K14" s="14"/>
      <c r="L14" s="14"/>
      <c r="M14" s="14"/>
    </row>
    <row r="15" customFormat="false" ht="48" hidden="false" customHeight="true" outlineLevel="0" collapsed="false">
      <c r="A15" s="15" t="s">
        <v>105</v>
      </c>
      <c r="B15" s="16" t="s">
        <v>30</v>
      </c>
      <c r="C15" s="16" t="s">
        <v>106</v>
      </c>
      <c r="D15" s="15" t="s">
        <v>16</v>
      </c>
      <c r="E15" s="16" t="s">
        <v>6</v>
      </c>
      <c r="F15" s="16" t="s">
        <v>66</v>
      </c>
      <c r="G15" s="16" t="s">
        <v>93</v>
      </c>
      <c r="H15" s="16" t="s">
        <v>107</v>
      </c>
      <c r="I15" s="16"/>
      <c r="J15" s="16"/>
      <c r="K15" s="16"/>
      <c r="L15" s="16"/>
      <c r="M15" s="16"/>
    </row>
    <row r="16" customFormat="false" ht="48" hidden="false" customHeight="true" outlineLevel="0" collapsed="false">
      <c r="A16" s="15" t="s">
        <v>108</v>
      </c>
      <c r="B16" s="16" t="s">
        <v>31</v>
      </c>
      <c r="C16" s="16" t="s">
        <v>109</v>
      </c>
      <c r="D16" s="15" t="s">
        <v>16</v>
      </c>
      <c r="E16" s="16" t="s">
        <v>6</v>
      </c>
      <c r="F16" s="16" t="s">
        <v>66</v>
      </c>
      <c r="G16" s="16" t="s">
        <v>69</v>
      </c>
      <c r="H16" s="16" t="s">
        <v>110</v>
      </c>
      <c r="I16" s="16"/>
      <c r="J16" s="16"/>
      <c r="K16" s="16"/>
      <c r="L16" s="16"/>
      <c r="M16" s="16"/>
    </row>
    <row r="17" customFormat="false" ht="48" hidden="false" customHeight="true" outlineLevel="0" collapsed="false">
      <c r="A17" s="15" t="s">
        <v>111</v>
      </c>
      <c r="B17" s="16" t="s">
        <v>31</v>
      </c>
      <c r="C17" s="16" t="s">
        <v>112</v>
      </c>
      <c r="D17" s="15" t="s">
        <v>16</v>
      </c>
      <c r="E17" s="16" t="s">
        <v>6</v>
      </c>
      <c r="F17" s="16" t="s">
        <v>66</v>
      </c>
      <c r="G17" s="16" t="s">
        <v>69</v>
      </c>
      <c r="H17" s="16" t="s">
        <v>113</v>
      </c>
      <c r="I17" s="16"/>
      <c r="J17" s="16"/>
      <c r="K17" s="16"/>
      <c r="L17" s="16"/>
      <c r="M17" s="16"/>
    </row>
    <row r="18" customFormat="false" ht="48" hidden="false" customHeight="true" outlineLevel="0" collapsed="false">
      <c r="A18" s="15" t="s">
        <v>114</v>
      </c>
      <c r="B18" s="16" t="s">
        <v>31</v>
      </c>
      <c r="C18" s="16" t="s">
        <v>115</v>
      </c>
      <c r="D18" s="15" t="s">
        <v>16</v>
      </c>
      <c r="E18" s="16" t="s">
        <v>6</v>
      </c>
      <c r="F18" s="16" t="s">
        <v>66</v>
      </c>
      <c r="G18" s="16" t="s">
        <v>69</v>
      </c>
      <c r="H18" s="16" t="s">
        <v>116</v>
      </c>
      <c r="I18" s="16"/>
      <c r="J18" s="16"/>
      <c r="K18" s="16"/>
      <c r="L18" s="16"/>
      <c r="M18" s="16"/>
    </row>
    <row r="19" customFormat="false" ht="48" hidden="false" customHeight="true" outlineLevel="0" collapsed="false">
      <c r="A19" s="15" t="s">
        <v>117</v>
      </c>
      <c r="B19" s="16" t="s">
        <v>31</v>
      </c>
      <c r="C19" s="16" t="s">
        <v>118</v>
      </c>
      <c r="D19" s="15" t="s">
        <v>16</v>
      </c>
      <c r="E19" s="16" t="s">
        <v>6</v>
      </c>
      <c r="F19" s="16" t="s">
        <v>66</v>
      </c>
      <c r="G19" s="16" t="s">
        <v>69</v>
      </c>
      <c r="H19" s="16" t="s">
        <v>119</v>
      </c>
      <c r="I19" s="16"/>
      <c r="J19" s="16"/>
      <c r="K19" s="16"/>
      <c r="L19" s="16"/>
      <c r="M19" s="16"/>
    </row>
    <row r="20" customFormat="false" ht="48" hidden="false" customHeight="true" outlineLevel="0" collapsed="false">
      <c r="A20" s="15" t="s">
        <v>120</v>
      </c>
      <c r="B20" s="16" t="s">
        <v>31</v>
      </c>
      <c r="C20" s="16" t="s">
        <v>121</v>
      </c>
      <c r="D20" s="15" t="s">
        <v>16</v>
      </c>
      <c r="E20" s="16" t="s">
        <v>6</v>
      </c>
      <c r="F20" s="16" t="s">
        <v>66</v>
      </c>
      <c r="G20" s="16" t="s">
        <v>69</v>
      </c>
      <c r="H20" s="16" t="s">
        <v>122</v>
      </c>
      <c r="I20" s="16"/>
      <c r="J20" s="16"/>
      <c r="K20" s="16"/>
      <c r="L20" s="16"/>
      <c r="M20" s="16"/>
    </row>
    <row r="21" customFormat="false" ht="48" hidden="false" customHeight="true" outlineLevel="0" collapsed="false">
      <c r="A21" s="15" t="s">
        <v>123</v>
      </c>
      <c r="B21" s="16" t="s">
        <v>31</v>
      </c>
      <c r="C21" s="16" t="s">
        <v>124</v>
      </c>
      <c r="D21" s="15" t="s">
        <v>16</v>
      </c>
      <c r="E21" s="16" t="s">
        <v>6</v>
      </c>
      <c r="F21" s="16" t="s">
        <v>66</v>
      </c>
      <c r="G21" s="16" t="s">
        <v>69</v>
      </c>
      <c r="H21" s="16" t="s">
        <v>125</v>
      </c>
      <c r="I21" s="16"/>
      <c r="J21" s="16"/>
      <c r="K21" s="16"/>
      <c r="L21" s="16"/>
      <c r="M21" s="16"/>
    </row>
    <row r="22" customFormat="false" ht="48" hidden="false" customHeight="true" outlineLevel="0" collapsed="false">
      <c r="A22" s="15" t="s">
        <v>126</v>
      </c>
      <c r="B22" s="16" t="s">
        <v>31</v>
      </c>
      <c r="C22" s="16" t="s">
        <v>127</v>
      </c>
      <c r="D22" s="15" t="s">
        <v>16</v>
      </c>
      <c r="E22" s="16" t="s">
        <v>6</v>
      </c>
      <c r="F22" s="16" t="s">
        <v>66</v>
      </c>
      <c r="G22" s="16" t="s">
        <v>69</v>
      </c>
      <c r="H22" s="16" t="s">
        <v>128</v>
      </c>
      <c r="I22" s="16"/>
      <c r="J22" s="16"/>
      <c r="K22" s="16"/>
      <c r="L22" s="16"/>
      <c r="M22" s="16"/>
    </row>
    <row r="23" customFormat="false" ht="48" hidden="false" customHeight="true" outlineLevel="0" collapsed="false">
      <c r="A23" s="15" t="s">
        <v>129</v>
      </c>
      <c r="B23" s="16" t="s">
        <v>31</v>
      </c>
      <c r="C23" s="16" t="s">
        <v>130</v>
      </c>
      <c r="D23" s="15" t="s">
        <v>16</v>
      </c>
      <c r="E23" s="16" t="s">
        <v>6</v>
      </c>
      <c r="F23" s="16" t="s">
        <v>66</v>
      </c>
      <c r="G23" s="16" t="s">
        <v>69</v>
      </c>
      <c r="H23" s="16" t="s">
        <v>131</v>
      </c>
      <c r="I23" s="16"/>
      <c r="J23" s="16"/>
      <c r="K23" s="16"/>
      <c r="L23" s="16"/>
      <c r="M23" s="16"/>
    </row>
    <row r="24" customFormat="false" ht="48" hidden="false" customHeight="true" outlineLevel="0" collapsed="false">
      <c r="A24" s="15" t="s">
        <v>132</v>
      </c>
      <c r="B24" s="16" t="s">
        <v>31</v>
      </c>
      <c r="C24" s="16" t="s">
        <v>133</v>
      </c>
      <c r="D24" s="15" t="s">
        <v>16</v>
      </c>
      <c r="E24" s="16" t="s">
        <v>6</v>
      </c>
      <c r="F24" s="16" t="s">
        <v>66</v>
      </c>
      <c r="G24" s="16" t="s">
        <v>69</v>
      </c>
      <c r="H24" s="16" t="s">
        <v>134</v>
      </c>
      <c r="I24" s="16"/>
      <c r="J24" s="16"/>
      <c r="K24" s="16"/>
      <c r="L24" s="16"/>
      <c r="M24" s="16"/>
    </row>
    <row r="25" customFormat="false" ht="48" hidden="false" customHeight="true" outlineLevel="0" collapsed="false">
      <c r="A25" s="15" t="s">
        <v>135</v>
      </c>
      <c r="B25" s="16" t="s">
        <v>31</v>
      </c>
      <c r="C25" s="16" t="s">
        <v>136</v>
      </c>
      <c r="D25" s="15" t="s">
        <v>17</v>
      </c>
      <c r="E25" s="16" t="s">
        <v>6</v>
      </c>
      <c r="F25" s="16" t="s">
        <v>66</v>
      </c>
      <c r="G25" s="16" t="s">
        <v>69</v>
      </c>
      <c r="H25" s="16" t="s">
        <v>137</v>
      </c>
      <c r="I25" s="16"/>
      <c r="J25" s="16"/>
      <c r="K25" s="16"/>
      <c r="L25" s="16"/>
      <c r="M25" s="16"/>
    </row>
    <row r="26" customFormat="false" ht="48" hidden="false" customHeight="true" outlineLevel="0" collapsed="false">
      <c r="A26" s="15" t="s">
        <v>138</v>
      </c>
      <c r="B26" s="16" t="s">
        <v>32</v>
      </c>
      <c r="C26" s="16" t="s">
        <v>139</v>
      </c>
      <c r="D26" s="15" t="s">
        <v>16</v>
      </c>
      <c r="E26" s="16" t="s">
        <v>6</v>
      </c>
      <c r="F26" s="16" t="s">
        <v>66</v>
      </c>
      <c r="G26" s="16" t="s">
        <v>140</v>
      </c>
      <c r="H26" s="16" t="s">
        <v>141</v>
      </c>
      <c r="I26" s="16"/>
      <c r="J26" s="16"/>
      <c r="K26" s="16"/>
      <c r="L26" s="16"/>
      <c r="M26" s="16"/>
    </row>
    <row r="27" customFormat="false" ht="48" hidden="false" customHeight="true" outlineLevel="0" collapsed="false">
      <c r="A27" s="15" t="s">
        <v>142</v>
      </c>
      <c r="B27" s="16" t="s">
        <v>32</v>
      </c>
      <c r="C27" s="16" t="s">
        <v>143</v>
      </c>
      <c r="D27" s="15" t="s">
        <v>16</v>
      </c>
      <c r="E27" s="16" t="s">
        <v>6</v>
      </c>
      <c r="F27" s="16" t="s">
        <v>66</v>
      </c>
      <c r="G27" s="16" t="s">
        <v>72</v>
      </c>
      <c r="H27" s="16" t="s">
        <v>144</v>
      </c>
      <c r="I27" s="16"/>
      <c r="J27" s="16"/>
      <c r="K27" s="16"/>
      <c r="L27" s="16"/>
      <c r="M27" s="16"/>
    </row>
    <row r="28" customFormat="false" ht="48" hidden="false" customHeight="true" outlineLevel="0" collapsed="false">
      <c r="A28" s="15" t="s">
        <v>145</v>
      </c>
      <c r="B28" s="16" t="s">
        <v>32</v>
      </c>
      <c r="C28" s="16" t="s">
        <v>146</v>
      </c>
      <c r="D28" s="15" t="s">
        <v>16</v>
      </c>
      <c r="E28" s="16" t="s">
        <v>6</v>
      </c>
      <c r="F28" s="16" t="s">
        <v>66</v>
      </c>
      <c r="G28" s="16" t="s">
        <v>67</v>
      </c>
      <c r="H28" s="16" t="s">
        <v>147</v>
      </c>
      <c r="I28" s="16"/>
      <c r="J28" s="16"/>
      <c r="K28" s="16"/>
      <c r="L28" s="16"/>
      <c r="M28" s="16"/>
    </row>
    <row r="29" customFormat="false" ht="48" hidden="false" customHeight="true" outlineLevel="0" collapsed="false">
      <c r="A29" s="15" t="s">
        <v>148</v>
      </c>
      <c r="B29" s="16" t="s">
        <v>33</v>
      </c>
      <c r="C29" s="16" t="s">
        <v>149</v>
      </c>
      <c r="D29" s="15" t="s">
        <v>16</v>
      </c>
      <c r="E29" s="16" t="s">
        <v>6</v>
      </c>
      <c r="F29" s="16" t="s">
        <v>66</v>
      </c>
      <c r="G29" s="16" t="s">
        <v>150</v>
      </c>
      <c r="H29" s="16" t="s">
        <v>151</v>
      </c>
      <c r="I29" s="16"/>
      <c r="J29" s="16"/>
      <c r="K29" s="16"/>
      <c r="L29" s="16"/>
      <c r="M29" s="16"/>
    </row>
    <row r="30" customFormat="false" ht="48" hidden="false" customHeight="true" outlineLevel="0" collapsed="false">
      <c r="A30" s="15" t="s">
        <v>152</v>
      </c>
      <c r="B30" s="16" t="s">
        <v>33</v>
      </c>
      <c r="C30" s="16" t="s">
        <v>153</v>
      </c>
      <c r="D30" s="15" t="s">
        <v>16</v>
      </c>
      <c r="E30" s="16" t="s">
        <v>6</v>
      </c>
      <c r="F30" s="16" t="s">
        <v>66</v>
      </c>
      <c r="G30" s="16" t="s">
        <v>148</v>
      </c>
      <c r="H30" s="16" t="s">
        <v>154</v>
      </c>
      <c r="I30" s="16"/>
      <c r="J30" s="16"/>
      <c r="K30" s="16"/>
      <c r="L30" s="16"/>
      <c r="M30" s="16"/>
    </row>
    <row r="31" customFormat="false" ht="48" hidden="false" customHeight="true" outlineLevel="0" collapsed="false">
      <c r="A31" s="15" t="s">
        <v>155</v>
      </c>
      <c r="B31" s="16" t="s">
        <v>33</v>
      </c>
      <c r="C31" s="16" t="s">
        <v>156</v>
      </c>
      <c r="D31" s="15" t="s">
        <v>16</v>
      </c>
      <c r="E31" s="16" t="s">
        <v>6</v>
      </c>
      <c r="F31" s="16" t="s">
        <v>66</v>
      </c>
      <c r="G31" s="16" t="s">
        <v>148</v>
      </c>
      <c r="H31" s="16" t="s">
        <v>157</v>
      </c>
      <c r="I31" s="16"/>
      <c r="J31" s="16"/>
      <c r="K31" s="16"/>
      <c r="L31" s="16"/>
      <c r="M31" s="16"/>
    </row>
    <row r="32" customFormat="false" ht="48" hidden="false" customHeight="true" outlineLevel="0" collapsed="false">
      <c r="A32" s="15" t="s">
        <v>158</v>
      </c>
      <c r="B32" s="16" t="s">
        <v>33</v>
      </c>
      <c r="C32" s="16" t="s">
        <v>159</v>
      </c>
      <c r="D32" s="15" t="s">
        <v>16</v>
      </c>
      <c r="E32" s="16" t="s">
        <v>6</v>
      </c>
      <c r="F32" s="16" t="s">
        <v>66</v>
      </c>
      <c r="G32" s="16" t="s">
        <v>148</v>
      </c>
      <c r="H32" s="16" t="s">
        <v>160</v>
      </c>
      <c r="I32" s="16"/>
      <c r="J32" s="16"/>
      <c r="K32" s="16"/>
      <c r="L32" s="16"/>
      <c r="M32" s="16"/>
    </row>
    <row r="33" customFormat="false" ht="48" hidden="false" customHeight="true" outlineLevel="0" collapsed="false">
      <c r="A33" s="13" t="s">
        <v>41</v>
      </c>
      <c r="B33" s="14" t="s">
        <v>33</v>
      </c>
      <c r="C33" s="14" t="s">
        <v>161</v>
      </c>
      <c r="D33" s="13" t="s">
        <v>16</v>
      </c>
      <c r="E33" s="14" t="s">
        <v>6</v>
      </c>
      <c r="F33" s="14" t="s">
        <v>66</v>
      </c>
      <c r="G33" s="14" t="s">
        <v>162</v>
      </c>
      <c r="H33" s="14" t="s">
        <v>163</v>
      </c>
      <c r="I33" s="14"/>
      <c r="J33" s="14"/>
      <c r="K33" s="14"/>
      <c r="L33" s="14"/>
      <c r="M33" s="14"/>
    </row>
    <row r="34" customFormat="false" ht="48" hidden="false" customHeight="true" outlineLevel="0" collapsed="false">
      <c r="A34" s="13" t="s">
        <v>39</v>
      </c>
      <c r="B34" s="14" t="s">
        <v>33</v>
      </c>
      <c r="C34" s="14" t="s">
        <v>164</v>
      </c>
      <c r="D34" s="13" t="s">
        <v>16</v>
      </c>
      <c r="E34" s="14" t="s">
        <v>6</v>
      </c>
      <c r="F34" s="14" t="s">
        <v>66</v>
      </c>
      <c r="G34" s="14" t="s">
        <v>165</v>
      </c>
      <c r="H34" s="14" t="s">
        <v>166</v>
      </c>
      <c r="I34" s="14"/>
      <c r="J34" s="14"/>
      <c r="K34" s="14"/>
      <c r="L34" s="14"/>
      <c r="M34" s="14"/>
    </row>
    <row r="35" customFormat="false" ht="48" hidden="false" customHeight="true" outlineLevel="0" collapsed="false">
      <c r="A35" s="15" t="s">
        <v>167</v>
      </c>
      <c r="B35" s="16" t="s">
        <v>33</v>
      </c>
      <c r="C35" s="16" t="s">
        <v>168</v>
      </c>
      <c r="D35" s="15" t="s">
        <v>16</v>
      </c>
      <c r="E35" s="16" t="s">
        <v>6</v>
      </c>
      <c r="F35" s="16" t="s">
        <v>66</v>
      </c>
      <c r="G35" s="16" t="s">
        <v>169</v>
      </c>
      <c r="H35" s="16" t="s">
        <v>170</v>
      </c>
      <c r="I35" s="16"/>
      <c r="J35" s="16"/>
      <c r="K35" s="16"/>
      <c r="L35" s="16"/>
      <c r="M35" s="16"/>
    </row>
    <row r="36" customFormat="false" ht="48" hidden="false" customHeight="true" outlineLevel="0" collapsed="false">
      <c r="A36" s="15" t="s">
        <v>171</v>
      </c>
      <c r="B36" s="16" t="s">
        <v>33</v>
      </c>
      <c r="C36" s="16" t="s">
        <v>172</v>
      </c>
      <c r="D36" s="15" t="s">
        <v>16</v>
      </c>
      <c r="E36" s="16" t="s">
        <v>6</v>
      </c>
      <c r="F36" s="16" t="s">
        <v>66</v>
      </c>
      <c r="G36" s="16" t="s">
        <v>173</v>
      </c>
      <c r="H36" s="16" t="s">
        <v>174</v>
      </c>
      <c r="I36" s="16"/>
      <c r="J36" s="16"/>
      <c r="K36" s="16"/>
      <c r="L36" s="16"/>
      <c r="M36" s="16"/>
    </row>
    <row r="37" customFormat="false" ht="48" hidden="false" customHeight="true" outlineLevel="0" collapsed="false">
      <c r="A37" s="15" t="s">
        <v>175</v>
      </c>
      <c r="B37" s="16" t="s">
        <v>33</v>
      </c>
      <c r="C37" s="16" t="s">
        <v>176</v>
      </c>
      <c r="D37" s="15" t="s">
        <v>16</v>
      </c>
      <c r="E37" s="16" t="s">
        <v>6</v>
      </c>
      <c r="F37" s="16" t="s">
        <v>66</v>
      </c>
      <c r="G37" s="16" t="s">
        <v>148</v>
      </c>
      <c r="H37" s="16" t="s">
        <v>177</v>
      </c>
      <c r="I37" s="16"/>
      <c r="J37" s="16"/>
      <c r="K37" s="16"/>
      <c r="L37" s="16"/>
      <c r="M37" s="16"/>
    </row>
    <row r="38" customFormat="false" ht="48" hidden="false" customHeight="true" outlineLevel="0" collapsed="false">
      <c r="A38" s="15" t="s">
        <v>178</v>
      </c>
      <c r="B38" s="16" t="s">
        <v>33</v>
      </c>
      <c r="C38" s="16" t="s">
        <v>179</v>
      </c>
      <c r="D38" s="15" t="s">
        <v>16</v>
      </c>
      <c r="E38" s="16" t="s">
        <v>6</v>
      </c>
      <c r="F38" s="16" t="s">
        <v>66</v>
      </c>
      <c r="G38" s="16" t="s">
        <v>180</v>
      </c>
      <c r="H38" s="16" t="s">
        <v>181</v>
      </c>
      <c r="I38" s="16"/>
      <c r="J38" s="16"/>
      <c r="K38" s="16"/>
      <c r="L38" s="16"/>
      <c r="M38" s="16"/>
    </row>
    <row r="39" customFormat="false" ht="48" hidden="false" customHeight="true" outlineLevel="0" collapsed="false">
      <c r="A39" s="15" t="s">
        <v>182</v>
      </c>
      <c r="B39" s="16" t="s">
        <v>33</v>
      </c>
      <c r="C39" s="16" t="s">
        <v>183</v>
      </c>
      <c r="D39" s="15" t="s">
        <v>16</v>
      </c>
      <c r="E39" s="16" t="s">
        <v>6</v>
      </c>
      <c r="F39" s="16" t="s">
        <v>66</v>
      </c>
      <c r="G39" s="16" t="s">
        <v>148</v>
      </c>
      <c r="H39" s="16" t="s">
        <v>184</v>
      </c>
      <c r="I39" s="16"/>
      <c r="J39" s="16"/>
      <c r="K39" s="16"/>
      <c r="L39" s="16"/>
      <c r="M39" s="16"/>
    </row>
    <row r="40" customFormat="false" ht="48" hidden="false" customHeight="true" outlineLevel="0" collapsed="false">
      <c r="A40" s="15" t="s">
        <v>185</v>
      </c>
      <c r="B40" s="16" t="s">
        <v>33</v>
      </c>
      <c r="C40" s="16" t="s">
        <v>186</v>
      </c>
      <c r="D40" s="15" t="s">
        <v>16</v>
      </c>
      <c r="E40" s="16" t="s">
        <v>6</v>
      </c>
      <c r="F40" s="16" t="s">
        <v>66</v>
      </c>
      <c r="G40" s="16" t="s">
        <v>148</v>
      </c>
      <c r="H40" s="16" t="s">
        <v>187</v>
      </c>
      <c r="I40" s="16"/>
      <c r="J40" s="16"/>
      <c r="K40" s="16"/>
      <c r="L40" s="16"/>
      <c r="M40" s="16"/>
    </row>
    <row r="41" customFormat="false" ht="48" hidden="false" customHeight="true" outlineLevel="0" collapsed="false">
      <c r="A41" s="15" t="s">
        <v>188</v>
      </c>
      <c r="B41" s="16" t="s">
        <v>34</v>
      </c>
      <c r="C41" s="16" t="s">
        <v>189</v>
      </c>
      <c r="D41" s="15" t="s">
        <v>16</v>
      </c>
      <c r="E41" s="16" t="s">
        <v>6</v>
      </c>
      <c r="F41" s="16" t="s">
        <v>66</v>
      </c>
      <c r="G41" s="16" t="s">
        <v>190</v>
      </c>
      <c r="H41" s="16" t="s">
        <v>191</v>
      </c>
      <c r="I41" s="16"/>
      <c r="J41" s="16"/>
      <c r="K41" s="16"/>
      <c r="L41" s="16"/>
      <c r="M41" s="16"/>
    </row>
    <row r="42" customFormat="false" ht="48" hidden="false" customHeight="true" outlineLevel="0" collapsed="false">
      <c r="A42" s="15" t="s">
        <v>192</v>
      </c>
      <c r="B42" s="16" t="s">
        <v>34</v>
      </c>
      <c r="C42" s="16" t="s">
        <v>193</v>
      </c>
      <c r="D42" s="15" t="s">
        <v>16</v>
      </c>
      <c r="E42" s="16" t="s">
        <v>6</v>
      </c>
      <c r="F42" s="16" t="s">
        <v>66</v>
      </c>
      <c r="G42" s="16" t="s">
        <v>188</v>
      </c>
      <c r="H42" s="16" t="s">
        <v>194</v>
      </c>
      <c r="I42" s="16"/>
      <c r="J42" s="16"/>
      <c r="K42" s="16"/>
      <c r="L42" s="16"/>
      <c r="M42" s="16"/>
    </row>
    <row r="43" customFormat="false" ht="48" hidden="false" customHeight="true" outlineLevel="0" collapsed="false">
      <c r="A43" s="15" t="s">
        <v>195</v>
      </c>
      <c r="B43" s="16" t="s">
        <v>34</v>
      </c>
      <c r="C43" s="16" t="s">
        <v>196</v>
      </c>
      <c r="D43" s="15" t="s">
        <v>17</v>
      </c>
      <c r="E43" s="16" t="s">
        <v>6</v>
      </c>
      <c r="F43" s="16" t="s">
        <v>66</v>
      </c>
      <c r="G43" s="16" t="s">
        <v>148</v>
      </c>
      <c r="H43" s="16" t="s">
        <v>197</v>
      </c>
      <c r="I43" s="16"/>
      <c r="J43" s="16"/>
      <c r="K43" s="16"/>
      <c r="L43" s="16"/>
      <c r="M43" s="16"/>
    </row>
    <row r="44" customFormat="false" ht="48" hidden="false" customHeight="true" outlineLevel="0" collapsed="false">
      <c r="A44" s="15" t="s">
        <v>198</v>
      </c>
      <c r="B44" s="16" t="s">
        <v>34</v>
      </c>
      <c r="C44" s="16" t="s">
        <v>199</v>
      </c>
      <c r="D44" s="15" t="s">
        <v>18</v>
      </c>
      <c r="E44" s="16" t="s">
        <v>6</v>
      </c>
      <c r="F44" s="16" t="s">
        <v>66</v>
      </c>
      <c r="G44" s="16" t="s">
        <v>188</v>
      </c>
      <c r="H44" s="16" t="s">
        <v>200</v>
      </c>
      <c r="I44" s="16"/>
      <c r="J44" s="16"/>
      <c r="K44" s="16"/>
      <c r="L44" s="16"/>
      <c r="M44" s="16"/>
    </row>
    <row r="45" customFormat="false" ht="48" hidden="false" customHeight="true" outlineLevel="0" collapsed="false">
      <c r="A45" s="15" t="s">
        <v>190</v>
      </c>
      <c r="B45" s="16" t="s">
        <v>35</v>
      </c>
      <c r="C45" s="16" t="s">
        <v>201</v>
      </c>
      <c r="D45" s="15" t="s">
        <v>16</v>
      </c>
      <c r="E45" s="16" t="s">
        <v>6</v>
      </c>
      <c r="F45" s="16" t="s">
        <v>88</v>
      </c>
      <c r="G45" s="16" t="s">
        <v>67</v>
      </c>
      <c r="H45" s="16" t="s">
        <v>202</v>
      </c>
      <c r="I45" s="16"/>
      <c r="J45" s="16"/>
      <c r="K45" s="16"/>
      <c r="L45" s="16"/>
      <c r="M45" s="16"/>
    </row>
    <row r="46" customFormat="false" ht="48" hidden="false" customHeight="true" outlineLevel="0" collapsed="false">
      <c r="A46" s="13" t="s">
        <v>51</v>
      </c>
      <c r="B46" s="14" t="s">
        <v>35</v>
      </c>
      <c r="C46" s="14" t="s">
        <v>203</v>
      </c>
      <c r="D46" s="13" t="s">
        <v>16</v>
      </c>
      <c r="E46" s="14" t="s">
        <v>6</v>
      </c>
      <c r="F46" s="14" t="s">
        <v>66</v>
      </c>
      <c r="G46" s="14" t="s">
        <v>190</v>
      </c>
      <c r="H46" s="14" t="s">
        <v>204</v>
      </c>
      <c r="I46" s="14"/>
      <c r="J46" s="14"/>
      <c r="K46" s="14"/>
      <c r="L46" s="14"/>
      <c r="M46" s="14"/>
    </row>
    <row r="47" customFormat="false" ht="48" hidden="false" customHeight="true" outlineLevel="0" collapsed="false">
      <c r="A47" s="15" t="s">
        <v>205</v>
      </c>
      <c r="B47" s="16" t="s">
        <v>35</v>
      </c>
      <c r="C47" s="16" t="s">
        <v>206</v>
      </c>
      <c r="D47" s="15" t="s">
        <v>16</v>
      </c>
      <c r="E47" s="16" t="s">
        <v>6</v>
      </c>
      <c r="F47" s="16" t="s">
        <v>66</v>
      </c>
      <c r="G47" s="16" t="s">
        <v>51</v>
      </c>
      <c r="H47" s="16" t="s">
        <v>207</v>
      </c>
      <c r="I47" s="16"/>
      <c r="J47" s="16"/>
      <c r="K47" s="16"/>
      <c r="L47" s="16"/>
      <c r="M47" s="16"/>
    </row>
    <row r="48" customFormat="false" ht="48" hidden="false" customHeight="true" outlineLevel="0" collapsed="false">
      <c r="A48" s="15" t="s">
        <v>208</v>
      </c>
      <c r="B48" s="16" t="s">
        <v>35</v>
      </c>
      <c r="C48" s="16" t="s">
        <v>209</v>
      </c>
      <c r="D48" s="15" t="s">
        <v>17</v>
      </c>
      <c r="E48" s="16" t="s">
        <v>6</v>
      </c>
      <c r="F48" s="16" t="s">
        <v>66</v>
      </c>
      <c r="G48" s="16" t="s">
        <v>51</v>
      </c>
      <c r="H48" s="16" t="s">
        <v>210</v>
      </c>
      <c r="I48" s="16"/>
      <c r="J48" s="16"/>
      <c r="K48" s="16"/>
      <c r="L48" s="16"/>
      <c r="M48" s="16"/>
    </row>
    <row r="49" customFormat="false" ht="48" hidden="false" customHeight="true" outlineLevel="0" collapsed="false">
      <c r="A49" s="15" t="s">
        <v>211</v>
      </c>
      <c r="B49" s="16" t="s">
        <v>35</v>
      </c>
      <c r="C49" s="16" t="s">
        <v>212</v>
      </c>
      <c r="D49" s="15" t="s">
        <v>17</v>
      </c>
      <c r="E49" s="16" t="s">
        <v>6</v>
      </c>
      <c r="F49" s="16" t="s">
        <v>66</v>
      </c>
      <c r="G49" s="16" t="s">
        <v>175</v>
      </c>
      <c r="H49" s="16" t="s">
        <v>213</v>
      </c>
      <c r="I49" s="16"/>
      <c r="J49" s="16"/>
      <c r="K49" s="16"/>
      <c r="L49" s="16"/>
      <c r="M49" s="16"/>
    </row>
    <row r="50" customFormat="false" ht="48" hidden="false" customHeight="true" outlineLevel="0" collapsed="false">
      <c r="A50" s="15" t="s">
        <v>214</v>
      </c>
      <c r="B50" s="16" t="s">
        <v>36</v>
      </c>
      <c r="C50" s="16" t="s">
        <v>215</v>
      </c>
      <c r="D50" s="15" t="s">
        <v>16</v>
      </c>
      <c r="E50" s="16" t="s">
        <v>6</v>
      </c>
      <c r="F50" s="16" t="s">
        <v>66</v>
      </c>
      <c r="G50" s="16" t="s">
        <v>51</v>
      </c>
      <c r="H50" s="16" t="s">
        <v>216</v>
      </c>
      <c r="I50" s="16"/>
      <c r="J50" s="16"/>
      <c r="K50" s="16"/>
      <c r="L50" s="16"/>
      <c r="M50" s="16"/>
    </row>
    <row r="51" customFormat="false" ht="48" hidden="false" customHeight="true" outlineLevel="0" collapsed="false">
      <c r="A51" s="15" t="s">
        <v>217</v>
      </c>
      <c r="B51" s="16" t="s">
        <v>36</v>
      </c>
      <c r="C51" s="16" t="s">
        <v>218</v>
      </c>
      <c r="D51" s="15" t="s">
        <v>16</v>
      </c>
      <c r="E51" s="16" t="s">
        <v>6</v>
      </c>
      <c r="F51" s="16" t="s">
        <v>66</v>
      </c>
      <c r="G51" s="16" t="s">
        <v>51</v>
      </c>
      <c r="H51" s="16" t="s">
        <v>219</v>
      </c>
      <c r="I51" s="16"/>
      <c r="J51" s="16"/>
      <c r="K51" s="16"/>
      <c r="L51" s="16"/>
      <c r="M51" s="16"/>
    </row>
    <row r="52" customFormat="false" ht="48" hidden="false" customHeight="true" outlineLevel="0" collapsed="false">
      <c r="A52" s="15" t="s">
        <v>220</v>
      </c>
      <c r="B52" s="16" t="s">
        <v>36</v>
      </c>
      <c r="C52" s="16" t="s">
        <v>221</v>
      </c>
      <c r="D52" s="15" t="s">
        <v>17</v>
      </c>
      <c r="E52" s="16" t="s">
        <v>6</v>
      </c>
      <c r="F52" s="16" t="s">
        <v>66</v>
      </c>
      <c r="G52" s="16" t="s">
        <v>51</v>
      </c>
      <c r="H52" s="16" t="s">
        <v>222</v>
      </c>
      <c r="I52" s="16"/>
      <c r="J52" s="16"/>
      <c r="K52" s="16"/>
      <c r="L52" s="16"/>
      <c r="M52" s="16"/>
    </row>
    <row r="53" customFormat="false" ht="48" hidden="false" customHeight="true" outlineLevel="0" collapsed="false">
      <c r="A53" s="15" t="s">
        <v>223</v>
      </c>
      <c r="B53" s="16" t="s">
        <v>36</v>
      </c>
      <c r="C53" s="16" t="s">
        <v>224</v>
      </c>
      <c r="D53" s="15" t="s">
        <v>17</v>
      </c>
      <c r="E53" s="16" t="s">
        <v>6</v>
      </c>
      <c r="F53" s="16" t="s">
        <v>66</v>
      </c>
      <c r="G53" s="16" t="s">
        <v>51</v>
      </c>
      <c r="H53" s="16" t="s">
        <v>225</v>
      </c>
      <c r="I53" s="16"/>
      <c r="J53" s="16"/>
      <c r="K53" s="16"/>
      <c r="L53" s="16"/>
      <c r="M53" s="16"/>
    </row>
    <row r="54" customFormat="false" ht="48" hidden="false" customHeight="true" outlineLevel="0" collapsed="false">
      <c r="A54" s="15" t="s">
        <v>226</v>
      </c>
      <c r="B54" s="16" t="s">
        <v>36</v>
      </c>
      <c r="C54" s="16" t="s">
        <v>227</v>
      </c>
      <c r="D54" s="15" t="s">
        <v>17</v>
      </c>
      <c r="E54" s="16" t="s">
        <v>6</v>
      </c>
      <c r="F54" s="16" t="s">
        <v>66</v>
      </c>
      <c r="G54" s="16" t="s">
        <v>51</v>
      </c>
      <c r="H54" s="16" t="s">
        <v>228</v>
      </c>
      <c r="I54" s="16"/>
      <c r="J54" s="16"/>
      <c r="K54" s="16"/>
      <c r="L54" s="16"/>
      <c r="M54" s="16"/>
    </row>
    <row r="55" customFormat="false" ht="48" hidden="false" customHeight="true" outlineLevel="0" collapsed="false">
      <c r="A55" s="15" t="s">
        <v>229</v>
      </c>
      <c r="B55" s="16" t="s">
        <v>36</v>
      </c>
      <c r="C55" s="16" t="s">
        <v>230</v>
      </c>
      <c r="D55" s="15" t="s">
        <v>16</v>
      </c>
      <c r="E55" s="16" t="s">
        <v>6</v>
      </c>
      <c r="F55" s="16" t="s">
        <v>66</v>
      </c>
      <c r="G55" s="16" t="s">
        <v>51</v>
      </c>
      <c r="H55" s="16" t="s">
        <v>231</v>
      </c>
      <c r="I55" s="16"/>
      <c r="J55" s="16"/>
      <c r="K55" s="16"/>
      <c r="L55" s="16"/>
      <c r="M55" s="16"/>
    </row>
    <row r="56" customFormat="false" ht="48" hidden="false" customHeight="true" outlineLevel="0" collapsed="false">
      <c r="A56" s="15" t="s">
        <v>232</v>
      </c>
      <c r="B56" s="16" t="s">
        <v>37</v>
      </c>
      <c r="C56" s="16" t="s">
        <v>233</v>
      </c>
      <c r="D56" s="15" t="s">
        <v>16</v>
      </c>
      <c r="E56" s="16" t="s">
        <v>6</v>
      </c>
      <c r="F56" s="16" t="s">
        <v>66</v>
      </c>
      <c r="G56" s="16" t="s">
        <v>72</v>
      </c>
      <c r="H56" s="16" t="s">
        <v>234</v>
      </c>
      <c r="I56" s="16"/>
      <c r="J56" s="16"/>
      <c r="K56" s="16"/>
      <c r="L56" s="16"/>
      <c r="M56" s="16"/>
    </row>
    <row r="57" customFormat="false" ht="48" hidden="false" customHeight="true" outlineLevel="0" collapsed="false">
      <c r="A57" s="15" t="s">
        <v>235</v>
      </c>
      <c r="B57" s="16" t="s">
        <v>37</v>
      </c>
      <c r="C57" s="16" t="s">
        <v>236</v>
      </c>
      <c r="D57" s="15" t="s">
        <v>16</v>
      </c>
      <c r="E57" s="16" t="s">
        <v>6</v>
      </c>
      <c r="F57" s="16" t="s">
        <v>66</v>
      </c>
      <c r="G57" s="16" t="s">
        <v>237</v>
      </c>
      <c r="H57" s="16" t="s">
        <v>238</v>
      </c>
      <c r="I57" s="16"/>
      <c r="J57" s="16"/>
      <c r="K57" s="16"/>
      <c r="L57" s="16"/>
      <c r="M57" s="16"/>
    </row>
    <row r="58" customFormat="false" ht="48" hidden="false" customHeight="true" outlineLevel="0" collapsed="false">
      <c r="A58" s="15" t="s">
        <v>239</v>
      </c>
      <c r="B58" s="16" t="s">
        <v>37</v>
      </c>
      <c r="C58" s="16" t="s">
        <v>240</v>
      </c>
      <c r="D58" s="15" t="s">
        <v>16</v>
      </c>
      <c r="E58" s="16" t="s">
        <v>6</v>
      </c>
      <c r="F58" s="16" t="s">
        <v>66</v>
      </c>
      <c r="G58" s="16" t="s">
        <v>241</v>
      </c>
      <c r="H58" s="16" t="s">
        <v>242</v>
      </c>
      <c r="I58" s="16"/>
      <c r="J58" s="16"/>
      <c r="K58" s="16"/>
      <c r="L58" s="16"/>
      <c r="M58" s="16"/>
    </row>
    <row r="59" customFormat="false" ht="48" hidden="false" customHeight="true" outlineLevel="0" collapsed="false">
      <c r="A59" s="15" t="s">
        <v>243</v>
      </c>
      <c r="B59" s="16" t="s">
        <v>37</v>
      </c>
      <c r="C59" s="16" t="s">
        <v>244</v>
      </c>
      <c r="D59" s="15" t="s">
        <v>16</v>
      </c>
      <c r="E59" s="16" t="s">
        <v>6</v>
      </c>
      <c r="F59" s="16" t="s">
        <v>66</v>
      </c>
      <c r="G59" s="16" t="s">
        <v>45</v>
      </c>
      <c r="H59" s="16" t="s">
        <v>245</v>
      </c>
      <c r="I59" s="16"/>
      <c r="J59" s="16"/>
      <c r="K59" s="16"/>
      <c r="L59" s="16"/>
      <c r="M59" s="16"/>
    </row>
    <row r="60" customFormat="false" ht="48" hidden="false" customHeight="true" outlineLevel="0" collapsed="false">
      <c r="A60" s="15" t="s">
        <v>246</v>
      </c>
      <c r="B60" s="16" t="s">
        <v>37</v>
      </c>
      <c r="C60" s="16" t="s">
        <v>247</v>
      </c>
      <c r="D60" s="15" t="s">
        <v>16</v>
      </c>
      <c r="E60" s="16" t="s">
        <v>6</v>
      </c>
      <c r="F60" s="16" t="s">
        <v>66</v>
      </c>
      <c r="G60" s="16" t="s">
        <v>45</v>
      </c>
      <c r="H60" s="16" t="s">
        <v>248</v>
      </c>
      <c r="I60" s="16"/>
      <c r="J60" s="16"/>
      <c r="K60" s="16"/>
      <c r="L60" s="16"/>
      <c r="M60" s="16"/>
    </row>
    <row r="61" customFormat="false" ht="48" hidden="false" customHeight="true" outlineLevel="0" collapsed="false">
      <c r="A61" s="15" t="s">
        <v>249</v>
      </c>
      <c r="B61" s="16" t="s">
        <v>37</v>
      </c>
      <c r="C61" s="16" t="s">
        <v>250</v>
      </c>
      <c r="D61" s="15" t="s">
        <v>16</v>
      </c>
      <c r="E61" s="16" t="s">
        <v>6</v>
      </c>
      <c r="F61" s="16" t="s">
        <v>66</v>
      </c>
      <c r="G61" s="16" t="s">
        <v>72</v>
      </c>
      <c r="H61" s="16" t="s">
        <v>251</v>
      </c>
      <c r="I61" s="16"/>
      <c r="J61" s="16"/>
      <c r="K61" s="16"/>
      <c r="L61" s="16"/>
      <c r="M61" s="16"/>
    </row>
    <row r="62" customFormat="false" ht="48" hidden="false" customHeight="true" outlineLevel="0" collapsed="false">
      <c r="A62" s="15" t="s">
        <v>252</v>
      </c>
      <c r="B62" s="16" t="s">
        <v>37</v>
      </c>
      <c r="C62" s="16" t="s">
        <v>253</v>
      </c>
      <c r="D62" s="15" t="s">
        <v>17</v>
      </c>
      <c r="E62" s="16" t="s">
        <v>6</v>
      </c>
      <c r="F62" s="16" t="s">
        <v>66</v>
      </c>
      <c r="G62" s="16" t="s">
        <v>72</v>
      </c>
      <c r="H62" s="16" t="s">
        <v>254</v>
      </c>
      <c r="I62" s="16"/>
      <c r="J62" s="16"/>
      <c r="K62" s="16"/>
      <c r="L62" s="16"/>
      <c r="M62" s="16"/>
    </row>
    <row r="63" customFormat="false" ht="48" hidden="false" customHeight="true" outlineLevel="0" collapsed="false">
      <c r="A63" s="13" t="s">
        <v>43</v>
      </c>
      <c r="B63" s="14" t="s">
        <v>24</v>
      </c>
      <c r="C63" s="14" t="s">
        <v>255</v>
      </c>
      <c r="D63" s="13" t="s">
        <v>16</v>
      </c>
      <c r="E63" s="14" t="s">
        <v>6</v>
      </c>
      <c r="F63" s="14" t="s">
        <v>66</v>
      </c>
      <c r="G63" s="14" t="s">
        <v>256</v>
      </c>
      <c r="H63" s="14" t="s">
        <v>257</v>
      </c>
      <c r="I63" s="14"/>
      <c r="J63" s="14"/>
      <c r="K63" s="14"/>
      <c r="L63" s="14"/>
      <c r="M63" s="14"/>
    </row>
    <row r="64" customFormat="false" ht="48" hidden="false" customHeight="true" outlineLevel="0" collapsed="false">
      <c r="A64" s="15" t="s">
        <v>258</v>
      </c>
      <c r="B64" s="16" t="s">
        <v>24</v>
      </c>
      <c r="C64" s="16" t="s">
        <v>259</v>
      </c>
      <c r="D64" s="15" t="s">
        <v>16</v>
      </c>
      <c r="E64" s="16" t="s">
        <v>6</v>
      </c>
      <c r="F64" s="16" t="s">
        <v>66</v>
      </c>
      <c r="G64" s="16" t="s">
        <v>43</v>
      </c>
      <c r="H64" s="16" t="s">
        <v>260</v>
      </c>
      <c r="I64" s="16"/>
      <c r="J64" s="16"/>
      <c r="K64" s="16"/>
      <c r="L64" s="16"/>
      <c r="M64" s="16"/>
    </row>
    <row r="65" customFormat="false" ht="48" hidden="false" customHeight="true" outlineLevel="0" collapsed="false">
      <c r="A65" s="15" t="s">
        <v>261</v>
      </c>
      <c r="B65" s="16" t="s">
        <v>24</v>
      </c>
      <c r="C65" s="16" t="s">
        <v>262</v>
      </c>
      <c r="D65" s="15" t="s">
        <v>17</v>
      </c>
      <c r="E65" s="16" t="s">
        <v>6</v>
      </c>
      <c r="F65" s="16" t="s">
        <v>66</v>
      </c>
      <c r="G65" s="16" t="s">
        <v>47</v>
      </c>
      <c r="H65" s="16" t="s">
        <v>263</v>
      </c>
      <c r="I65" s="16"/>
      <c r="J65" s="16"/>
      <c r="K65" s="16"/>
      <c r="L65" s="16"/>
      <c r="M65" s="16"/>
    </row>
    <row r="66" customFormat="false" ht="48" hidden="false" customHeight="true" outlineLevel="0" collapsed="false">
      <c r="A66" s="15" t="s">
        <v>264</v>
      </c>
      <c r="B66" s="16" t="s">
        <v>25</v>
      </c>
      <c r="C66" s="16" t="s">
        <v>265</v>
      </c>
      <c r="D66" s="15" t="s">
        <v>16</v>
      </c>
      <c r="E66" s="16" t="s">
        <v>6</v>
      </c>
      <c r="F66" s="16" t="s">
        <v>66</v>
      </c>
      <c r="G66" s="16" t="s">
        <v>266</v>
      </c>
      <c r="H66" s="16" t="s">
        <v>267</v>
      </c>
      <c r="I66" s="16"/>
      <c r="J66" s="16"/>
      <c r="K66" s="16"/>
      <c r="L66" s="16"/>
      <c r="M66" s="16"/>
    </row>
    <row r="67" customFormat="false" ht="48" hidden="false" customHeight="true" outlineLevel="0" collapsed="false">
      <c r="A67" s="15" t="s">
        <v>268</v>
      </c>
      <c r="B67" s="16" t="s">
        <v>25</v>
      </c>
      <c r="C67" s="16" t="s">
        <v>269</v>
      </c>
      <c r="D67" s="15" t="s">
        <v>16</v>
      </c>
      <c r="E67" s="16" t="s">
        <v>6</v>
      </c>
      <c r="F67" s="16" t="s">
        <v>270</v>
      </c>
      <c r="G67" s="16" t="s">
        <v>264</v>
      </c>
      <c r="H67" s="16" t="s">
        <v>271</v>
      </c>
      <c r="I67" s="16"/>
      <c r="J67" s="16"/>
      <c r="K67" s="16"/>
      <c r="L67" s="16"/>
      <c r="M67" s="16"/>
    </row>
    <row r="68" customFormat="false" ht="48" hidden="false" customHeight="true" outlineLevel="0" collapsed="false">
      <c r="A68" s="13" t="s">
        <v>53</v>
      </c>
      <c r="B68" s="14" t="s">
        <v>25</v>
      </c>
      <c r="C68" s="14" t="s">
        <v>272</v>
      </c>
      <c r="D68" s="13" t="s">
        <v>16</v>
      </c>
      <c r="E68" s="14" t="s">
        <v>6</v>
      </c>
      <c r="F68" s="14" t="s">
        <v>66</v>
      </c>
      <c r="G68" s="14" t="s">
        <v>268</v>
      </c>
      <c r="H68" s="14" t="s">
        <v>273</v>
      </c>
      <c r="I68" s="14"/>
      <c r="J68" s="14"/>
      <c r="K68" s="14"/>
      <c r="L68" s="14"/>
      <c r="M68" s="14"/>
    </row>
    <row r="69" customFormat="false" ht="48" hidden="false" customHeight="true" outlineLevel="0" collapsed="false">
      <c r="A69" s="15" t="s">
        <v>274</v>
      </c>
      <c r="B69" s="16" t="s">
        <v>25</v>
      </c>
      <c r="C69" s="16" t="s">
        <v>275</v>
      </c>
      <c r="D69" s="15" t="s">
        <v>16</v>
      </c>
      <c r="E69" s="16" t="s">
        <v>6</v>
      </c>
      <c r="F69" s="16" t="s">
        <v>66</v>
      </c>
      <c r="G69" s="16" t="s">
        <v>53</v>
      </c>
      <c r="H69" s="16" t="s">
        <v>276</v>
      </c>
      <c r="I69" s="16"/>
      <c r="J69" s="16"/>
      <c r="K69" s="16"/>
      <c r="L69" s="16"/>
      <c r="M69" s="16"/>
    </row>
    <row r="70" customFormat="false" ht="48" hidden="false" customHeight="true" outlineLevel="0" collapsed="false">
      <c r="A70" s="15" t="s">
        <v>277</v>
      </c>
      <c r="B70" s="16" t="s">
        <v>25</v>
      </c>
      <c r="C70" s="16" t="s">
        <v>278</v>
      </c>
      <c r="D70" s="15" t="s">
        <v>17</v>
      </c>
      <c r="E70" s="16" t="s">
        <v>6</v>
      </c>
      <c r="F70" s="16" t="s">
        <v>66</v>
      </c>
      <c r="G70" s="16" t="s">
        <v>264</v>
      </c>
      <c r="H70" s="16" t="s">
        <v>279</v>
      </c>
      <c r="I70" s="16"/>
      <c r="J70" s="16"/>
      <c r="K70" s="16"/>
      <c r="L70" s="16"/>
      <c r="M70" s="16"/>
    </row>
    <row r="71" customFormat="false" ht="48" hidden="false" customHeight="true" outlineLevel="0" collapsed="false">
      <c r="A71" s="15" t="s">
        <v>280</v>
      </c>
      <c r="B71" s="16" t="s">
        <v>25</v>
      </c>
      <c r="C71" s="16" t="s">
        <v>281</v>
      </c>
      <c r="D71" s="15" t="s">
        <v>17</v>
      </c>
      <c r="E71" s="16" t="s">
        <v>6</v>
      </c>
      <c r="F71" s="16" t="s">
        <v>66</v>
      </c>
      <c r="G71" s="16" t="s">
        <v>83</v>
      </c>
      <c r="H71" s="16" t="s">
        <v>282</v>
      </c>
      <c r="I71" s="16"/>
      <c r="J71" s="16"/>
      <c r="K71" s="16"/>
      <c r="L71" s="16"/>
      <c r="M71" s="16"/>
    </row>
    <row r="72" customFormat="false" ht="48" hidden="false" customHeight="true" outlineLevel="0" collapsed="false">
      <c r="A72" s="15" t="s">
        <v>283</v>
      </c>
      <c r="B72" s="16" t="s">
        <v>25</v>
      </c>
      <c r="C72" s="16" t="s">
        <v>284</v>
      </c>
      <c r="D72" s="15" t="s">
        <v>17</v>
      </c>
      <c r="E72" s="16" t="s">
        <v>6</v>
      </c>
      <c r="F72" s="16" t="s">
        <v>66</v>
      </c>
      <c r="G72" s="16" t="s">
        <v>72</v>
      </c>
      <c r="H72" s="16" t="s">
        <v>285</v>
      </c>
      <c r="I72" s="16"/>
      <c r="J72" s="16"/>
      <c r="K72" s="16"/>
      <c r="L72" s="16"/>
      <c r="M72" s="16"/>
    </row>
    <row r="73" customFormat="false" ht="48" hidden="false" customHeight="true" outlineLevel="0" collapsed="false">
      <c r="A73" s="15" t="s">
        <v>286</v>
      </c>
      <c r="B73" s="16" t="s">
        <v>26</v>
      </c>
      <c r="C73" s="16" t="s">
        <v>287</v>
      </c>
      <c r="D73" s="15" t="s">
        <v>17</v>
      </c>
      <c r="E73" s="16" t="s">
        <v>6</v>
      </c>
      <c r="F73" s="16" t="s">
        <v>66</v>
      </c>
      <c r="G73" s="16" t="s">
        <v>188</v>
      </c>
      <c r="H73" s="16" t="s">
        <v>288</v>
      </c>
      <c r="I73" s="16"/>
      <c r="J73" s="16"/>
      <c r="K73" s="16"/>
      <c r="L73" s="16"/>
      <c r="M73" s="16"/>
    </row>
    <row r="74" customFormat="false" ht="48" hidden="false" customHeight="true" outlineLevel="0" collapsed="false">
      <c r="A74" s="15" t="s">
        <v>289</v>
      </c>
      <c r="B74" s="16" t="s">
        <v>27</v>
      </c>
      <c r="C74" s="16" t="s">
        <v>290</v>
      </c>
      <c r="D74" s="15" t="s">
        <v>17</v>
      </c>
      <c r="E74" s="16" t="s">
        <v>6</v>
      </c>
      <c r="F74" s="16" t="s">
        <v>66</v>
      </c>
      <c r="G74" s="16" t="s">
        <v>67</v>
      </c>
      <c r="H74" s="16" t="s">
        <v>291</v>
      </c>
      <c r="I74" s="16"/>
      <c r="J74" s="16"/>
      <c r="K74" s="16"/>
      <c r="L74" s="16"/>
      <c r="M74" s="16"/>
    </row>
    <row r="75" customFormat="false" ht="48" hidden="false" customHeight="true" outlineLevel="0" collapsed="false">
      <c r="A75" s="15" t="s">
        <v>292</v>
      </c>
      <c r="B75" s="16" t="s">
        <v>27</v>
      </c>
      <c r="C75" s="16" t="s">
        <v>293</v>
      </c>
      <c r="D75" s="15" t="s">
        <v>17</v>
      </c>
      <c r="E75" s="16" t="s">
        <v>6</v>
      </c>
      <c r="F75" s="16" t="s">
        <v>66</v>
      </c>
      <c r="G75" s="16" t="s">
        <v>67</v>
      </c>
      <c r="H75" s="16" t="s">
        <v>294</v>
      </c>
      <c r="I75" s="16"/>
      <c r="J75" s="16"/>
      <c r="K75" s="16"/>
      <c r="L75" s="16"/>
      <c r="M75" s="16"/>
    </row>
    <row r="76" customFormat="false" ht="48" hidden="false" customHeight="true" outlineLevel="0" collapsed="false">
      <c r="A76" s="15" t="s">
        <v>295</v>
      </c>
      <c r="B76" s="16" t="s">
        <v>27</v>
      </c>
      <c r="C76" s="16" t="s">
        <v>296</v>
      </c>
      <c r="D76" s="15" t="s">
        <v>17</v>
      </c>
      <c r="E76" s="16" t="s">
        <v>6</v>
      </c>
      <c r="F76" s="16" t="s">
        <v>66</v>
      </c>
      <c r="G76" s="16" t="s">
        <v>67</v>
      </c>
      <c r="H76" s="16" t="s">
        <v>297</v>
      </c>
      <c r="I76" s="16"/>
      <c r="J76" s="16"/>
      <c r="K76" s="16"/>
      <c r="L76" s="16"/>
      <c r="M76" s="16"/>
    </row>
    <row r="77" customFormat="false" ht="48" hidden="false" customHeight="true" outlineLevel="0" collapsed="false">
      <c r="A77" s="15" t="s">
        <v>298</v>
      </c>
      <c r="B77" s="16" t="s">
        <v>27</v>
      </c>
      <c r="C77" s="16" t="s">
        <v>299</v>
      </c>
      <c r="D77" s="15" t="s">
        <v>17</v>
      </c>
      <c r="E77" s="16" t="s">
        <v>6</v>
      </c>
      <c r="F77" s="16" t="s">
        <v>66</v>
      </c>
      <c r="G77" s="16" t="s">
        <v>67</v>
      </c>
      <c r="H77" s="16" t="s">
        <v>300</v>
      </c>
      <c r="I77" s="16"/>
      <c r="J77" s="16"/>
      <c r="K77" s="16"/>
      <c r="L77" s="16"/>
      <c r="M77" s="16"/>
    </row>
    <row r="78" customFormat="false" ht="48" hidden="false" customHeight="true" outlineLevel="0" collapsed="false">
      <c r="A78" s="15" t="s">
        <v>301</v>
      </c>
      <c r="B78" s="16" t="s">
        <v>27</v>
      </c>
      <c r="C78" s="16" t="s">
        <v>302</v>
      </c>
      <c r="D78" s="15" t="s">
        <v>17</v>
      </c>
      <c r="E78" s="16" t="s">
        <v>6</v>
      </c>
      <c r="F78" s="16" t="s">
        <v>66</v>
      </c>
      <c r="G78" s="16" t="s">
        <v>67</v>
      </c>
      <c r="H78" s="16" t="s">
        <v>303</v>
      </c>
      <c r="I78" s="16"/>
      <c r="J78" s="16"/>
      <c r="K78" s="16"/>
      <c r="L78" s="16"/>
      <c r="M78" s="16"/>
    </row>
    <row r="79" customFormat="false" ht="48" hidden="false" customHeight="true" outlineLevel="0" collapsed="false">
      <c r="A79" s="15" t="s">
        <v>304</v>
      </c>
      <c r="B79" s="16" t="s">
        <v>27</v>
      </c>
      <c r="C79" s="16" t="s">
        <v>305</v>
      </c>
      <c r="D79" s="15" t="s">
        <v>17</v>
      </c>
      <c r="E79" s="16" t="s">
        <v>6</v>
      </c>
      <c r="F79" s="16" t="s">
        <v>66</v>
      </c>
      <c r="G79" s="16" t="s">
        <v>67</v>
      </c>
      <c r="H79" s="16" t="s">
        <v>306</v>
      </c>
      <c r="I79" s="16"/>
      <c r="J79" s="16"/>
      <c r="K79" s="16"/>
      <c r="L79" s="16"/>
      <c r="M79" s="16"/>
    </row>
    <row r="80" customFormat="false" ht="48" hidden="false" customHeight="true" outlineLevel="0" collapsed="false">
      <c r="A80" s="15" t="s">
        <v>307</v>
      </c>
      <c r="B80" s="16" t="s">
        <v>27</v>
      </c>
      <c r="C80" s="16" t="s">
        <v>308</v>
      </c>
      <c r="D80" s="15" t="s">
        <v>18</v>
      </c>
      <c r="E80" s="16" t="s">
        <v>6</v>
      </c>
      <c r="F80" s="16" t="s">
        <v>66</v>
      </c>
      <c r="G80" s="16" t="s">
        <v>67</v>
      </c>
      <c r="H80" s="16" t="s">
        <v>309</v>
      </c>
      <c r="I80" s="16"/>
      <c r="J80" s="16"/>
      <c r="K80" s="16"/>
      <c r="L80" s="16"/>
      <c r="M80" s="16"/>
    </row>
    <row r="81" customFormat="false" ht="48" hidden="false" customHeight="true" outlineLevel="0" collapsed="false">
      <c r="A81" s="15" t="s">
        <v>310</v>
      </c>
      <c r="B81" s="16" t="s">
        <v>28</v>
      </c>
      <c r="C81" s="16" t="s">
        <v>311</v>
      </c>
      <c r="D81" s="15" t="s">
        <v>16</v>
      </c>
      <c r="E81" s="16" t="s">
        <v>6</v>
      </c>
      <c r="F81" s="16" t="s">
        <v>66</v>
      </c>
      <c r="G81" s="16" t="s">
        <v>108</v>
      </c>
      <c r="H81" s="16" t="s">
        <v>312</v>
      </c>
      <c r="I81" s="16"/>
      <c r="J81" s="16"/>
      <c r="K81" s="16"/>
      <c r="L81" s="16"/>
      <c r="M81" s="16"/>
    </row>
    <row r="82" customFormat="false" ht="48" hidden="false" customHeight="true" outlineLevel="0" collapsed="false">
      <c r="A82" s="15" t="s">
        <v>313</v>
      </c>
      <c r="B82" s="16" t="s">
        <v>28</v>
      </c>
      <c r="C82" s="16" t="s">
        <v>314</v>
      </c>
      <c r="D82" s="15" t="s">
        <v>16</v>
      </c>
      <c r="E82" s="16" t="s">
        <v>6</v>
      </c>
      <c r="F82" s="16" t="s">
        <v>66</v>
      </c>
      <c r="G82" s="16" t="s">
        <v>108</v>
      </c>
      <c r="H82" s="16" t="s">
        <v>315</v>
      </c>
      <c r="I82" s="16"/>
      <c r="J82" s="16"/>
      <c r="K82" s="16"/>
      <c r="L82" s="16"/>
      <c r="M82" s="16"/>
    </row>
    <row r="83" customFormat="false" ht="48" hidden="false" customHeight="true" outlineLevel="0" collapsed="false">
      <c r="A83" s="15" t="s">
        <v>316</v>
      </c>
      <c r="B83" s="16" t="s">
        <v>28</v>
      </c>
      <c r="C83" s="16" t="s">
        <v>317</v>
      </c>
      <c r="D83" s="15" t="s">
        <v>17</v>
      </c>
      <c r="E83" s="16" t="s">
        <v>6</v>
      </c>
      <c r="F83" s="16" t="s">
        <v>66</v>
      </c>
      <c r="G83" s="16" t="s">
        <v>67</v>
      </c>
      <c r="H83" s="16" t="s">
        <v>318</v>
      </c>
      <c r="I83" s="16"/>
      <c r="J83" s="16"/>
      <c r="K83" s="16"/>
      <c r="L83" s="16"/>
      <c r="M83" s="16"/>
    </row>
    <row r="84" customFormat="false" ht="48" hidden="false" customHeight="true" outlineLevel="0" collapsed="false">
      <c r="A84" s="15" t="s">
        <v>319</v>
      </c>
      <c r="B84" s="16" t="s">
        <v>28</v>
      </c>
      <c r="C84" s="16" t="s">
        <v>320</v>
      </c>
      <c r="D84" s="15" t="s">
        <v>17</v>
      </c>
      <c r="E84" s="16" t="s">
        <v>6</v>
      </c>
      <c r="F84" s="16" t="s">
        <v>66</v>
      </c>
      <c r="G84" s="16" t="s">
        <v>67</v>
      </c>
      <c r="H84" s="16" t="s">
        <v>321</v>
      </c>
      <c r="I84" s="16"/>
      <c r="J84" s="16"/>
      <c r="K84" s="16"/>
      <c r="L84" s="16"/>
      <c r="M84" s="16"/>
    </row>
    <row r="85" customFormat="false" ht="48" hidden="false" customHeight="true" outlineLevel="0" collapsed="false">
      <c r="A85" s="15" t="s">
        <v>322</v>
      </c>
      <c r="B85" s="16" t="s">
        <v>28</v>
      </c>
      <c r="C85" s="16" t="s">
        <v>323</v>
      </c>
      <c r="D85" s="15" t="s">
        <v>17</v>
      </c>
      <c r="E85" s="16" t="s">
        <v>6</v>
      </c>
      <c r="F85" s="16" t="s">
        <v>66</v>
      </c>
      <c r="G85" s="16" t="s">
        <v>67</v>
      </c>
      <c r="H85" s="16" t="s">
        <v>324</v>
      </c>
      <c r="I85" s="16"/>
      <c r="J85" s="16"/>
      <c r="K85" s="16"/>
      <c r="L85" s="16"/>
      <c r="M85" s="16"/>
    </row>
    <row r="86" customFormat="false" ht="48" hidden="false" customHeight="true" outlineLevel="0" collapsed="false">
      <c r="A86" s="15" t="s">
        <v>325</v>
      </c>
      <c r="B86" s="16" t="s">
        <v>29</v>
      </c>
      <c r="C86" s="16" t="s">
        <v>326</v>
      </c>
      <c r="D86" s="15" t="s">
        <v>17</v>
      </c>
      <c r="E86" s="16" t="s">
        <v>6</v>
      </c>
      <c r="F86" s="16" t="s">
        <v>66</v>
      </c>
      <c r="G86" s="16" t="s">
        <v>72</v>
      </c>
      <c r="H86" s="16" t="s">
        <v>327</v>
      </c>
      <c r="I86" s="16"/>
      <c r="J86" s="16"/>
      <c r="K86" s="16"/>
      <c r="L86" s="16"/>
      <c r="M86" s="16"/>
    </row>
    <row r="87" customFormat="false" ht="48" hidden="false" customHeight="true" outlineLevel="0" collapsed="false">
      <c r="A87" s="15" t="s">
        <v>328</v>
      </c>
      <c r="B87" s="16" t="s">
        <v>29</v>
      </c>
      <c r="C87" s="16" t="s">
        <v>329</v>
      </c>
      <c r="D87" s="15" t="s">
        <v>16</v>
      </c>
      <c r="E87" s="16" t="s">
        <v>6</v>
      </c>
      <c r="F87" s="16" t="s">
        <v>66</v>
      </c>
      <c r="G87" s="16" t="s">
        <v>239</v>
      </c>
      <c r="H87" s="16" t="s">
        <v>330</v>
      </c>
      <c r="I87" s="16"/>
      <c r="J87" s="16"/>
      <c r="K87" s="16"/>
      <c r="L87" s="16"/>
      <c r="M87" s="16"/>
    </row>
    <row r="88" customFormat="false" ht="48" hidden="false" customHeight="true" outlineLevel="0" collapsed="false">
      <c r="A88" s="15" t="s">
        <v>331</v>
      </c>
      <c r="B88" s="16" t="s">
        <v>29</v>
      </c>
      <c r="C88" s="16" t="s">
        <v>332</v>
      </c>
      <c r="D88" s="15" t="s">
        <v>16</v>
      </c>
      <c r="E88" s="16" t="s">
        <v>6</v>
      </c>
      <c r="F88" s="16" t="s">
        <v>66</v>
      </c>
      <c r="G88" s="16" t="s">
        <v>333</v>
      </c>
      <c r="H88" s="16" t="s">
        <v>334</v>
      </c>
      <c r="I88" s="16"/>
      <c r="J88" s="16"/>
      <c r="K88" s="16"/>
      <c r="L88" s="16"/>
      <c r="M88" s="16"/>
    </row>
    <row r="89" customFormat="false" ht="48" hidden="false" customHeight="true" outlineLevel="0" collapsed="false">
      <c r="A89" s="15" t="s">
        <v>335</v>
      </c>
      <c r="B89" s="16" t="s">
        <v>29</v>
      </c>
      <c r="C89" s="16" t="s">
        <v>336</v>
      </c>
      <c r="D89" s="15" t="s">
        <v>18</v>
      </c>
      <c r="E89" s="16" t="s">
        <v>6</v>
      </c>
      <c r="F89" s="16" t="s">
        <v>88</v>
      </c>
      <c r="G89" s="16" t="s">
        <v>67</v>
      </c>
      <c r="H89" s="16" t="s">
        <v>337</v>
      </c>
      <c r="I89" s="16"/>
      <c r="J89" s="16"/>
      <c r="K89" s="16"/>
      <c r="L89" s="16"/>
      <c r="M89" s="16"/>
    </row>
    <row r="90" customFormat="false" ht="48" hidden="false" customHeight="true" outlineLevel="0" collapsed="false">
      <c r="A90" s="15" t="s">
        <v>338</v>
      </c>
      <c r="B90" s="16" t="s">
        <v>29</v>
      </c>
      <c r="C90" s="16" t="s">
        <v>339</v>
      </c>
      <c r="D90" s="15" t="s">
        <v>17</v>
      </c>
      <c r="E90" s="16" t="s">
        <v>6</v>
      </c>
      <c r="F90" s="16" t="s">
        <v>270</v>
      </c>
      <c r="G90" s="16" t="s">
        <v>67</v>
      </c>
      <c r="H90" s="16" t="s">
        <v>340</v>
      </c>
      <c r="I90" s="16"/>
      <c r="J90" s="16"/>
      <c r="K90" s="16"/>
      <c r="L90" s="16"/>
      <c r="M90" s="16"/>
    </row>
    <row r="91" customFormat="false" ht="48" hidden="false" customHeight="true" outlineLevel="0" collapsed="false">
      <c r="A91" s="15" t="s">
        <v>341</v>
      </c>
      <c r="B91" s="16" t="s">
        <v>29</v>
      </c>
      <c r="C91" s="16" t="s">
        <v>342</v>
      </c>
      <c r="D91" s="15" t="s">
        <v>17</v>
      </c>
      <c r="E91" s="16" t="s">
        <v>6</v>
      </c>
      <c r="F91" s="16" t="s">
        <v>88</v>
      </c>
      <c r="G91" s="16" t="s">
        <v>67</v>
      </c>
      <c r="H91" s="16" t="s">
        <v>343</v>
      </c>
      <c r="I91" s="16"/>
      <c r="J91" s="16"/>
      <c r="K91" s="16"/>
      <c r="L91" s="16"/>
      <c r="M91" s="16"/>
    </row>
  </sheetData>
  <autoFilter ref="A1:M91"/>
  <conditionalFormatting sqref="E2:E91">
    <cfRule type="cellIs" priority="2" operator="equal" aboveAverage="0" equalAverage="0" bottom="0" percent="0" rank="0" text="" dxfId="7">
      <formula>"Not Started"</formula>
    </cfRule>
    <cfRule type="cellIs" priority="3" operator="equal" aboveAverage="0" equalAverage="0" bottom="0" percent="0" rank="0" text="" dxfId="8">
      <formula>"In Progress"</formula>
    </cfRule>
    <cfRule type="cellIs" priority="4" operator="equal" aboveAverage="0" equalAverage="0" bottom="0" percent="0" rank="0" text="" dxfId="9">
      <formula>"Blocked"</formula>
    </cfRule>
    <cfRule type="cellIs" priority="5" operator="equal" aboveAverage="0" equalAverage="0" bottom="0" percent="0" rank="0" text="" dxfId="10">
      <formula>"Done"</formula>
    </cfRule>
    <cfRule type="cellIs" priority="6" operator="equal" aboveAverage="0" equalAverage="0" bottom="0" percent="0" rank="0" text="" dxfId="11">
      <formula>"Verified"</formula>
    </cfRule>
  </conditionalFormatting>
  <conditionalFormatting sqref="D2:D91">
    <cfRule type="cellIs" priority="7" operator="equal" aboveAverage="0" equalAverage="0" bottom="0" percent="0" rank="0" text="" dxfId="12">
      <formula>"P0"</formula>
    </cfRule>
    <cfRule type="cellIs" priority="8" operator="equal" aboveAverage="0" equalAverage="0" bottom="0" percent="0" rank="0" text="" dxfId="13">
      <formula>"P1"</formula>
    </cfRule>
    <cfRule type="cellIs" priority="9" operator="equal" aboveAverage="0" equalAverage="0" bottom="0" percent="0" rank="0" text="" dxfId="8">
      <formula>"P2"</formula>
    </cfRule>
    <cfRule type="cellIs" priority="10" operator="equal" aboveAverage="0" equalAverage="0" bottom="0" percent="0" rank="0" text="" dxfId="7">
      <formula>"P3"</formula>
    </cfRule>
  </conditionalFormatting>
  <dataValidations count="3">
    <dataValidation allowBlank="true" errorStyle="stop" operator="between" showDropDown="false" showErrorMessage="false" showInputMessage="false" sqref="E2:E91" type="list">
      <formula1>"Not Started,In Progress,Blocked,Done,Verified"</formula1>
      <formula2>0</formula2>
    </dataValidation>
    <dataValidation allowBlank="false" errorStyle="stop" operator="between" showDropDown="false" showErrorMessage="false" showInputMessage="false" sqref="D2:D91" type="list">
      <formula1>"P0,P1,P2,P3"</formula1>
      <formula2>0</formula2>
    </dataValidation>
    <dataValidation allowBlank="true" errorStyle="stop" operator="between" showDropDown="false" showErrorMessage="false" showInputMessage="false" sqref="F2:F91" type="list">
      <formula1>"Lovable,Nathan,Nathan+Lovable,Attorney,Vendor,—"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344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345</v>
      </c>
      <c r="B2" s="2"/>
      <c r="C2" s="2"/>
      <c r="D2" s="2"/>
      <c r="E2" s="2"/>
    </row>
    <row r="4" customFormat="false" ht="15" hidden="false" customHeight="false" outlineLevel="0" collapsed="false">
      <c r="A4" s="4" t="s">
        <v>346</v>
      </c>
      <c r="B4" s="4" t="s">
        <v>347</v>
      </c>
      <c r="C4" s="4" t="s">
        <v>348</v>
      </c>
      <c r="D4" s="4" t="s">
        <v>349</v>
      </c>
      <c r="E4" s="4" t="s">
        <v>3</v>
      </c>
    </row>
    <row r="5" customFormat="false" ht="31.5" hidden="false" customHeight="true" outlineLevel="0" collapsed="false">
      <c r="A5" s="17" t="s">
        <v>350</v>
      </c>
      <c r="B5" s="17" t="s">
        <v>351</v>
      </c>
      <c r="C5" s="17" t="s">
        <v>352</v>
      </c>
      <c r="D5" s="17" t="s">
        <v>353</v>
      </c>
      <c r="E5" s="17" t="s">
        <v>6</v>
      </c>
    </row>
    <row r="6" customFormat="false" ht="31.5" hidden="false" customHeight="true" outlineLevel="0" collapsed="false">
      <c r="A6" s="17" t="s">
        <v>354</v>
      </c>
      <c r="B6" s="17" t="s">
        <v>355</v>
      </c>
      <c r="C6" s="17" t="s">
        <v>356</v>
      </c>
      <c r="D6" s="17" t="s">
        <v>357</v>
      </c>
      <c r="E6" s="17" t="s">
        <v>6</v>
      </c>
    </row>
    <row r="7" customFormat="false" ht="31.5" hidden="false" customHeight="true" outlineLevel="0" collapsed="false">
      <c r="A7" s="17" t="s">
        <v>358</v>
      </c>
      <c r="B7" s="17" t="s">
        <v>359</v>
      </c>
      <c r="C7" s="17" t="s">
        <v>360</v>
      </c>
      <c r="D7" s="17" t="s">
        <v>361</v>
      </c>
      <c r="E7" s="17" t="s">
        <v>6</v>
      </c>
    </row>
    <row r="8" customFormat="false" ht="31.5" hidden="false" customHeight="true" outlineLevel="0" collapsed="false">
      <c r="A8" s="18" t="s">
        <v>362</v>
      </c>
      <c r="B8" s="18" t="s">
        <v>363</v>
      </c>
      <c r="C8" s="18" t="s">
        <v>364</v>
      </c>
      <c r="D8" s="18" t="s">
        <v>365</v>
      </c>
      <c r="E8" s="18" t="s">
        <v>6</v>
      </c>
    </row>
    <row r="9" customFormat="false" ht="31.5" hidden="false" customHeight="true" outlineLevel="0" collapsed="false">
      <c r="A9" s="17" t="s">
        <v>366</v>
      </c>
      <c r="B9" s="17" t="s">
        <v>367</v>
      </c>
      <c r="C9" s="17" t="s">
        <v>368</v>
      </c>
      <c r="D9" s="17" t="s">
        <v>369</v>
      </c>
      <c r="E9" s="17" t="s">
        <v>6</v>
      </c>
    </row>
    <row r="10" customFormat="false" ht="31.5" hidden="false" customHeight="true" outlineLevel="0" collapsed="false">
      <c r="A10" s="17" t="s">
        <v>370</v>
      </c>
      <c r="B10" s="17" t="s">
        <v>371</v>
      </c>
      <c r="C10" s="17" t="s">
        <v>372</v>
      </c>
      <c r="D10" s="17" t="s">
        <v>373</v>
      </c>
      <c r="E10" s="17" t="s">
        <v>6</v>
      </c>
    </row>
    <row r="11" customFormat="false" ht="31.5" hidden="false" customHeight="true" outlineLevel="0" collapsed="false">
      <c r="A11" s="17" t="s">
        <v>374</v>
      </c>
      <c r="B11" s="17" t="s">
        <v>375</v>
      </c>
      <c r="C11" s="17" t="s">
        <v>376</v>
      </c>
      <c r="D11" s="17" t="s">
        <v>377</v>
      </c>
      <c r="E11" s="17" t="s">
        <v>6</v>
      </c>
    </row>
    <row r="12" customFormat="false" ht="31.5" hidden="false" customHeight="true" outlineLevel="0" collapsed="false">
      <c r="A12" s="17" t="s">
        <v>378</v>
      </c>
      <c r="B12" s="17" t="s">
        <v>379</v>
      </c>
      <c r="C12" s="17" t="s">
        <v>380</v>
      </c>
      <c r="D12" s="17" t="s">
        <v>381</v>
      </c>
      <c r="E12" s="17" t="s">
        <v>6</v>
      </c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E5:E12" type="list">
      <formula1>"Not Started,In Progress,Verified,Skipped"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9" t="s">
        <v>382</v>
      </c>
      <c r="B1" s="19"/>
      <c r="C1" s="19"/>
    </row>
    <row r="3" customFormat="false" ht="15" hidden="false" customHeight="false" outlineLevel="0" collapsed="false">
      <c r="A3" s="20" t="s">
        <v>383</v>
      </c>
    </row>
    <row r="4" customFormat="false" ht="15" hidden="false" customHeight="false" outlineLevel="0" collapsed="false">
      <c r="A4" s="7" t="s">
        <v>6</v>
      </c>
      <c r="B4" s="21" t="s">
        <v>384</v>
      </c>
    </row>
    <row r="5" customFormat="false" ht="15" hidden="false" customHeight="false" outlineLevel="0" collapsed="false">
      <c r="A5" s="7" t="s">
        <v>7</v>
      </c>
      <c r="B5" s="21" t="s">
        <v>385</v>
      </c>
    </row>
    <row r="6" customFormat="false" ht="26.85" hidden="false" customHeight="false" outlineLevel="0" collapsed="false">
      <c r="A6" s="7" t="s">
        <v>8</v>
      </c>
      <c r="B6" s="21" t="s">
        <v>386</v>
      </c>
    </row>
    <row r="7" customFormat="false" ht="26.85" hidden="false" customHeight="false" outlineLevel="0" collapsed="false">
      <c r="A7" s="7" t="s">
        <v>9</v>
      </c>
      <c r="B7" s="21" t="s">
        <v>387</v>
      </c>
    </row>
    <row r="8" customFormat="false" ht="26.85" hidden="false" customHeight="false" outlineLevel="0" collapsed="false">
      <c r="A8" s="7" t="s">
        <v>10</v>
      </c>
      <c r="B8" s="21" t="s">
        <v>388</v>
      </c>
    </row>
    <row r="10" customFormat="false" ht="15" hidden="false" customHeight="false" outlineLevel="0" collapsed="false">
      <c r="A10" s="20" t="s">
        <v>389</v>
      </c>
    </row>
    <row r="11" customFormat="false" ht="15" hidden="false" customHeight="false" outlineLevel="0" collapsed="false">
      <c r="A11" s="7" t="s">
        <v>16</v>
      </c>
      <c r="B11" s="5" t="s">
        <v>390</v>
      </c>
    </row>
    <row r="12" customFormat="false" ht="15" hidden="false" customHeight="false" outlineLevel="0" collapsed="false">
      <c r="A12" s="7" t="s">
        <v>17</v>
      </c>
      <c r="B12" s="5" t="s">
        <v>391</v>
      </c>
    </row>
    <row r="13" customFormat="false" ht="15" hidden="false" customHeight="false" outlineLevel="0" collapsed="false">
      <c r="A13" s="7" t="s">
        <v>18</v>
      </c>
      <c r="B13" s="5" t="s">
        <v>392</v>
      </c>
    </row>
    <row r="14" customFormat="false" ht="15" hidden="false" customHeight="false" outlineLevel="0" collapsed="false">
      <c r="A14" s="7" t="s">
        <v>19</v>
      </c>
      <c r="B14" s="5" t="s">
        <v>393</v>
      </c>
    </row>
    <row r="17" customFormat="false" ht="15" hidden="false" customHeight="false" outlineLevel="0" collapsed="false">
      <c r="A17" s="20" t="s">
        <v>394</v>
      </c>
    </row>
    <row r="18" customFormat="false" ht="15" hidden="false" customHeight="false" outlineLevel="0" collapsed="false">
      <c r="A18" s="7" t="s">
        <v>66</v>
      </c>
      <c r="B18" s="5" t="s">
        <v>395</v>
      </c>
    </row>
    <row r="19" customFormat="false" ht="15" hidden="false" customHeight="false" outlineLevel="0" collapsed="false">
      <c r="A19" s="7" t="s">
        <v>88</v>
      </c>
      <c r="B19" s="5" t="s">
        <v>396</v>
      </c>
    </row>
    <row r="20" customFormat="false" ht="15" hidden="false" customHeight="false" outlineLevel="0" collapsed="false">
      <c r="A20" s="7" t="s">
        <v>270</v>
      </c>
      <c r="B20" s="5" t="s">
        <v>397</v>
      </c>
    </row>
    <row r="21" customFormat="false" ht="15" hidden="false" customHeight="false" outlineLevel="0" collapsed="false">
      <c r="A21" s="7" t="s">
        <v>398</v>
      </c>
      <c r="B21" s="5" t="s">
        <v>399</v>
      </c>
    </row>
    <row r="22" customFormat="false" ht="15" hidden="false" customHeight="false" outlineLevel="0" collapsed="false">
      <c r="A22" s="7" t="s">
        <v>400</v>
      </c>
      <c r="B22" s="5" t="s">
        <v>401</v>
      </c>
    </row>
    <row r="23" customFormat="false" ht="15" hidden="false" customHeight="false" outlineLevel="0" collapsed="false">
      <c r="A23" s="7" t="s">
        <v>67</v>
      </c>
      <c r="B23" s="5" t="s">
        <v>402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2026-05-17T15:48:58Z</dcterms:created>
  <dc:creator>openpyxl</dc:creator>
  <dc:description/>
  <dc:language>en-US</dc:language>
  <cp:lastModifiedBy/>
  <dcterms:modified xsi:type="dcterms:W3CDTF">2026-05-17T15:48:58Z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